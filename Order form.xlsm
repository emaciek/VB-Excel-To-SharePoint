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3105" yWindow="1050" windowWidth="9720" windowHeight="6975" tabRatio="429" activeTab="1"/>
  </bookViews>
  <sheets>
    <sheet name="DocInfo" sheetId="8" r:id="rId1"/>
    <sheet name="Order" sheetId="1" r:id="rId2"/>
    <sheet name="Catalog" sheetId="6" r:id="rId3"/>
    <sheet name="Lists" sheetId="7" r:id="rId4"/>
  </sheets>
  <functionGroups builtInGroupCount="17"/>
  <definedNames>
    <definedName name="_xlnm._FilterDatabase" localSheetId="1" hidden="1">Order!#REF!</definedName>
    <definedName name="ExactAddinConnection" hidden="1">"001"</definedName>
    <definedName name="ExactAddinConnection.001" hidden="1">"plpozsw004;001;t0114682;1"</definedName>
    <definedName name="ExactAddinReports" hidden="1">2</definedName>
    <definedName name="_xlnm.Print_Area" localSheetId="1">Order!$E$1:$W$39</definedName>
    <definedName name="Order_date">Order!$G$4</definedName>
    <definedName name="Order_no">Order!$G$3</definedName>
    <definedName name="order_type">Order!$G$6</definedName>
    <definedName name="org_unit">Order!$G$5</definedName>
    <definedName name="_xlnm.Print_Titles" localSheetId="1">Order!$1:$6</definedName>
    <definedName name="units">Lists!$C$2:$C$26</definedName>
    <definedName name="yes_no">Lists!$A$2:$A$3</definedName>
  </definedNames>
  <calcPr calcId="145621"/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9" i="1"/>
  <c r="K34" i="1" l="1"/>
  <c r="J3" i="1" l="1"/>
  <c r="J1" i="1"/>
  <c r="D33" i="1" l="1"/>
  <c r="C33" i="1"/>
  <c r="B33" i="1"/>
  <c r="A33" i="1"/>
  <c r="D32" i="1"/>
  <c r="C32" i="1"/>
  <c r="B32" i="1"/>
  <c r="A32" i="1"/>
  <c r="D31" i="1"/>
  <c r="C31" i="1"/>
  <c r="B31" i="1"/>
  <c r="A31" i="1"/>
  <c r="D30" i="1"/>
  <c r="C30" i="1"/>
  <c r="B30" i="1"/>
  <c r="A30" i="1"/>
  <c r="D29" i="1"/>
  <c r="C29" i="1"/>
  <c r="B29" i="1"/>
  <c r="A29" i="1"/>
  <c r="D28" i="1"/>
  <c r="C28" i="1"/>
  <c r="B28" i="1"/>
  <c r="A28" i="1"/>
  <c r="D27" i="1"/>
  <c r="C27" i="1"/>
  <c r="B27" i="1"/>
  <c r="A27" i="1"/>
  <c r="D26" i="1"/>
  <c r="C26" i="1"/>
  <c r="B26" i="1"/>
  <c r="A26" i="1"/>
  <c r="D25" i="1"/>
  <c r="C25" i="1"/>
  <c r="B25" i="1"/>
  <c r="A25" i="1"/>
  <c r="D24" i="1"/>
  <c r="C24" i="1"/>
  <c r="B24" i="1"/>
  <c r="A24" i="1"/>
  <c r="D23" i="1"/>
  <c r="C23" i="1"/>
  <c r="B23" i="1"/>
  <c r="A23" i="1"/>
  <c r="D22" i="1"/>
  <c r="C22" i="1"/>
  <c r="B22" i="1"/>
  <c r="A22" i="1"/>
  <c r="D21" i="1"/>
  <c r="C21" i="1"/>
  <c r="B21" i="1"/>
  <c r="A21" i="1"/>
  <c r="D20" i="1"/>
  <c r="C20" i="1"/>
  <c r="B20" i="1"/>
  <c r="A20" i="1"/>
  <c r="D19" i="1"/>
  <c r="C19" i="1"/>
  <c r="B19" i="1"/>
  <c r="A19" i="1"/>
  <c r="D18" i="1"/>
  <c r="C18" i="1"/>
  <c r="B18" i="1"/>
  <c r="A18" i="1"/>
  <c r="D17" i="1"/>
  <c r="C17" i="1"/>
  <c r="B17" i="1"/>
  <c r="A17" i="1"/>
  <c r="D16" i="1"/>
  <c r="C16" i="1"/>
  <c r="B16" i="1"/>
  <c r="A16" i="1"/>
  <c r="D15" i="1"/>
  <c r="C15" i="1"/>
  <c r="B15" i="1"/>
  <c r="A15" i="1"/>
  <c r="D14" i="1"/>
  <c r="C14" i="1"/>
  <c r="B14" i="1"/>
  <c r="A14" i="1"/>
  <c r="D13" i="1"/>
  <c r="C13" i="1"/>
  <c r="B13" i="1"/>
  <c r="A13" i="1"/>
  <c r="D12" i="1"/>
  <c r="C12" i="1"/>
  <c r="B12" i="1"/>
  <c r="A12" i="1"/>
  <c r="D11" i="1"/>
  <c r="C11" i="1"/>
  <c r="B11" i="1"/>
  <c r="A11" i="1"/>
  <c r="D10" i="1"/>
  <c r="C10" i="1"/>
  <c r="B10" i="1"/>
  <c r="A10" i="1"/>
  <c r="D9" i="1"/>
  <c r="C9" i="1"/>
  <c r="B9" i="1"/>
  <c r="A9" i="1"/>
  <c r="N7" i="1" l="1"/>
</calcChain>
</file>

<file path=xl/sharedStrings.xml><?xml version="1.0" encoding="utf-8"?>
<sst xmlns="http://schemas.openxmlformats.org/spreadsheetml/2006/main" count="163" uniqueCount="150">
  <si>
    <t>m</t>
  </si>
  <si>
    <t>cm</t>
  </si>
  <si>
    <t>day</t>
  </si>
  <si>
    <t>gram</t>
  </si>
  <si>
    <t>hour</t>
  </si>
  <si>
    <t>kg</t>
  </si>
  <si>
    <t>km</t>
  </si>
  <si>
    <t>m2</t>
  </si>
  <si>
    <t>m3</t>
  </si>
  <si>
    <t>mb</t>
  </si>
  <si>
    <t>meter</t>
  </si>
  <si>
    <t>mg</t>
  </si>
  <si>
    <t>mm</t>
  </si>
  <si>
    <t xml:space="preserve"> </t>
  </si>
  <si>
    <t>Order</t>
  </si>
  <si>
    <t>Order number:</t>
  </si>
  <si>
    <t>Date:</t>
  </si>
  <si>
    <t>Organisation unit:</t>
  </si>
  <si>
    <t>Order type:</t>
  </si>
  <si>
    <t>material</t>
  </si>
  <si>
    <t>service</t>
  </si>
  <si>
    <t>material or service</t>
  </si>
  <si>
    <t>Units</t>
  </si>
  <si>
    <t>piece</t>
  </si>
  <si>
    <t>box</t>
  </si>
  <si>
    <t>yes</t>
  </si>
  <si>
    <t>no</t>
  </si>
  <si>
    <t>yes-no</t>
  </si>
  <si>
    <t>Document version :</t>
  </si>
  <si>
    <t>Version date:</t>
  </si>
  <si>
    <t>FORM-Order-001</t>
  </si>
  <si>
    <t>Form version:</t>
  </si>
  <si>
    <t>Description</t>
  </si>
  <si>
    <t>Part number</t>
  </si>
  <si>
    <t>Not on the list</t>
  </si>
  <si>
    <t>X-001</t>
  </si>
  <si>
    <t>X-002</t>
  </si>
  <si>
    <t>X-003</t>
  </si>
  <si>
    <t>X-004</t>
  </si>
  <si>
    <t>X-005</t>
  </si>
  <si>
    <t>X-006</t>
  </si>
  <si>
    <t>X-007</t>
  </si>
  <si>
    <t>X-008</t>
  </si>
  <si>
    <t>X-009</t>
  </si>
  <si>
    <t>X-010</t>
  </si>
  <si>
    <t>X-011</t>
  </si>
  <si>
    <t>X-012</t>
  </si>
  <si>
    <t>X-013</t>
  </si>
  <si>
    <t>X-014</t>
  </si>
  <si>
    <t>X-015</t>
  </si>
  <si>
    <t>X-016</t>
  </si>
  <si>
    <t>X-017</t>
  </si>
  <si>
    <t>X-018</t>
  </si>
  <si>
    <t>X-019</t>
  </si>
  <si>
    <t>X-020</t>
  </si>
  <si>
    <t>X-021</t>
  </si>
  <si>
    <t>X-022</t>
  </si>
  <si>
    <t>X-023</t>
  </si>
  <si>
    <t>X-024</t>
  </si>
  <si>
    <t>X-025</t>
  </si>
  <si>
    <t>X-026</t>
  </si>
  <si>
    <t>X-027</t>
  </si>
  <si>
    <t>X-028</t>
  </si>
  <si>
    <t>X-029</t>
  </si>
  <si>
    <t>X-030</t>
  </si>
  <si>
    <t>X-031</t>
  </si>
  <si>
    <t>X-032</t>
  </si>
  <si>
    <t>X-033</t>
  </si>
  <si>
    <t>X-034</t>
  </si>
  <si>
    <t>X-035</t>
  </si>
  <si>
    <t>X-036</t>
  </si>
  <si>
    <t>X-037</t>
  </si>
  <si>
    <t>X-038</t>
  </si>
  <si>
    <t>X-039</t>
  </si>
  <si>
    <t>X-040</t>
  </si>
  <si>
    <t>X-041</t>
  </si>
  <si>
    <t>X-042</t>
  </si>
  <si>
    <t>X-043</t>
  </si>
  <si>
    <t>X-044</t>
  </si>
  <si>
    <t>X-045</t>
  </si>
  <si>
    <t>X-046</t>
  </si>
  <si>
    <t>X-047</t>
  </si>
  <si>
    <t>X-048</t>
  </si>
  <si>
    <t>X-049</t>
  </si>
  <si>
    <t>X-050</t>
  </si>
  <si>
    <t>X-051</t>
  </si>
  <si>
    <t>X-052</t>
  </si>
  <si>
    <t>X-053</t>
  </si>
  <si>
    <t>X-054</t>
  </si>
  <si>
    <t>X-055</t>
  </si>
  <si>
    <t>X-056</t>
  </si>
  <si>
    <t>X-057</t>
  </si>
  <si>
    <t>X-058</t>
  </si>
  <si>
    <t>X-059</t>
  </si>
  <si>
    <t>X-060</t>
  </si>
  <si>
    <t>X-061</t>
  </si>
  <si>
    <t>X-062</t>
  </si>
  <si>
    <t>X-063</t>
  </si>
  <si>
    <t>X-064</t>
  </si>
  <si>
    <t>X-065</t>
  </si>
  <si>
    <t>X-066</t>
  </si>
  <si>
    <t>X-067</t>
  </si>
  <si>
    <t>X-068</t>
  </si>
  <si>
    <t>X-069</t>
  </si>
  <si>
    <t>X-070</t>
  </si>
  <si>
    <t>X-071</t>
  </si>
  <si>
    <t>X-072</t>
  </si>
  <si>
    <t>X-073</t>
  </si>
  <si>
    <t>X-074</t>
  </si>
  <si>
    <t>X-075</t>
  </si>
  <si>
    <t>X-076</t>
  </si>
  <si>
    <t>X-077</t>
  </si>
  <si>
    <t>X-078</t>
  </si>
  <si>
    <t>X-079</t>
  </si>
  <si>
    <t>X-080</t>
  </si>
  <si>
    <t>X-081</t>
  </si>
  <si>
    <t>X-082</t>
  </si>
  <si>
    <t>X-083</t>
  </si>
  <si>
    <t>X-084</t>
  </si>
  <si>
    <t>X-085</t>
  </si>
  <si>
    <t>X-086</t>
  </si>
  <si>
    <t>X-087</t>
  </si>
  <si>
    <t>X-088</t>
  </si>
  <si>
    <t>X-089</t>
  </si>
  <si>
    <t>X-090</t>
  </si>
  <si>
    <t>X-091</t>
  </si>
  <si>
    <t>X-092</t>
  </si>
  <si>
    <t>X-093</t>
  </si>
  <si>
    <t>X-094</t>
  </si>
  <si>
    <t>X-095</t>
  </si>
  <si>
    <t>X-096</t>
  </si>
  <si>
    <t>X-097</t>
  </si>
  <si>
    <t>X-098</t>
  </si>
  <si>
    <t>X-099</t>
  </si>
  <si>
    <t>X-100</t>
  </si>
  <si>
    <t>Price</t>
  </si>
  <si>
    <t>Unit</t>
  </si>
  <si>
    <t>Quantity</t>
  </si>
  <si>
    <t>Total</t>
  </si>
  <si>
    <t>Total:</t>
  </si>
  <si>
    <t>Admin</t>
  </si>
  <si>
    <t>Org unit</t>
  </si>
  <si>
    <t>Order date</t>
  </si>
  <si>
    <t>Order number</t>
  </si>
  <si>
    <t>Received date</t>
  </si>
  <si>
    <t>No</t>
  </si>
  <si>
    <t>Pecil</t>
  </si>
  <si>
    <t>Pen</t>
  </si>
  <si>
    <t>Ruller</t>
  </si>
  <si>
    <t>Paper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</si>
</sst>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_z_ł"/>
    <numFmt numFmtId="165" formatCode="[$-809]dd\ mmm\ yyyy;@"/>
    <numFmt numFmtId="166" formatCode="#,##0.00\ &quot;zł&quot;"/>
    <numFmt numFmtId="167" formatCode="_-[$€-2]\ * #,##0.00_-;\-[$€-2]\ * #,##0.00_-;_-[$€-2]\ * &quot;-&quot;??_-;_-@_-"/>
  </numFmts>
  <fonts count="22">
    <font>
      <sz val="9"/>
      <name val="Arial CE"/>
      <charset val="238"/>
    </font>
    <font>
      <b/>
      <sz val="11"/>
      <name val="Arial CE"/>
      <family val="2"/>
      <charset val="238"/>
    </font>
    <font>
      <sz val="8"/>
      <name val="Arial CE"/>
      <charset val="238"/>
    </font>
    <font>
      <sz val="10"/>
      <name val="Arial CE"/>
      <charset val="238"/>
    </font>
    <font>
      <b/>
      <sz val="9"/>
      <name val="Arial CE"/>
      <family val="2"/>
      <charset val="238"/>
    </font>
    <font>
      <sz val="9"/>
      <name val="Arial"/>
      <family val="2"/>
    </font>
    <font>
      <sz val="9"/>
      <name val="Arial CE"/>
      <charset val="238"/>
    </font>
    <font>
      <sz val="11"/>
      <name val="Arial CE"/>
      <charset val="238"/>
    </font>
    <font>
      <sz val="10"/>
      <color indexed="64"/>
      <name val="Arial"/>
      <family val="2"/>
      <charset val="238"/>
    </font>
    <font>
      <sz val="8"/>
      <name val="Arial"/>
      <family val="2"/>
      <charset val="238"/>
    </font>
    <font>
      <sz val="10"/>
      <color indexed="64"/>
      <name val="Arial"/>
      <family val="2"/>
      <charset val="238"/>
    </font>
    <font>
      <sz val="8"/>
      <color indexed="64"/>
      <name val="Arial"/>
      <family val="2"/>
      <charset val="238"/>
    </font>
    <font>
      <b/>
      <sz val="10"/>
      <name val="Arial CE"/>
      <charset val="238"/>
    </font>
    <font>
      <sz val="10"/>
      <name val="Arial"/>
      <family val="2"/>
    </font>
    <font>
      <sz val="10"/>
      <name val="Arial"/>
      <family val="2"/>
      <charset val="238"/>
    </font>
    <font>
      <b/>
      <sz val="10"/>
      <name val="Arial"/>
      <family val="2"/>
    </font>
    <font>
      <sz val="10"/>
      <name val="Arial"/>
      <family val="2"/>
      <charset val="238"/>
    </font>
    <font>
      <sz val="11"/>
      <color theme="1"/>
      <name val="Czcionka tekstu podstawowego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9"/>
      <color rgb="FF000000"/>
      <name val="Arial CE"/>
    </font>
    <font>
      <b/>
      <sz val="11"/>
      <name val="Arial CE"/>
      <charset val="238"/>
    </font>
  </fonts>
  <fills count="8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3" fillId="0" borderId="0"/>
    <xf numFmtId="0" fontId="10" fillId="0" borderId="0"/>
    <xf numFmtId="0" fontId="17" fillId="0" borderId="0"/>
    <xf numFmtId="0" fontId="8" fillId="0" borderId="0"/>
    <xf numFmtId="0" fontId="8" fillId="0" borderId="0"/>
    <xf numFmtId="0" fontId="10" fillId="0" borderId="0"/>
    <xf numFmtId="0" fontId="14" fillId="0" borderId="0"/>
    <xf numFmtId="0" fontId="16" fillId="0" borderId="0"/>
  </cellStyleXfs>
  <cellXfs count="185">
    <xf numFmtId="0" fontId="0" fillId="0" borderId="0" xfId="0"/>
    <xf numFmtId="0" fontId="11" fillId="2" borderId="1" xfId="0" applyNumberFormat="1" applyFont="1" applyFill="1" applyBorder="1" applyAlignment="1" applyProtection="1">
      <alignment horizontal="center" vertical="center" wrapText="1"/>
      <protection locked="0" hidden="1"/>
    </xf>
    <xf numFmtId="16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11" fillId="2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0" fillId="0" borderId="5" xfId="0" applyBorder="1" applyProtection="1">
      <protection locked="0" hidden="1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164" fontId="0" fillId="0" borderId="0" xfId="0" applyNumberFormat="1" applyProtection="1">
      <protection locked="0"/>
    </xf>
    <xf numFmtId="0" fontId="17" fillId="0" borderId="5" xfId="3" applyBorder="1" applyProtection="1">
      <protection locked="0"/>
    </xf>
    <xf numFmtId="0" fontId="9" fillId="0" borderId="5" xfId="0" applyFont="1" applyBorder="1" applyProtection="1">
      <protection locked="0"/>
    </xf>
    <xf numFmtId="0" fontId="9" fillId="0" borderId="0" xfId="0" applyFont="1" applyProtection="1">
      <protection locked="0"/>
    </xf>
    <xf numFmtId="0" fontId="11" fillId="2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1" fillId="0" borderId="0" xfId="0" applyNumberFormat="1" applyFont="1" applyBorder="1" applyAlignment="1" applyProtection="1">
      <alignment horizontal="center" vertical="top" wrapText="1"/>
      <protection locked="0" hidden="1"/>
    </xf>
    <xf numFmtId="0" fontId="11" fillId="0" borderId="0" xfId="0" applyNumberFormat="1" applyFont="1" applyBorder="1" applyAlignment="1" applyProtection="1">
      <alignment horizontal="left" vertical="top" wrapText="1"/>
      <protection locked="0" hidden="1"/>
    </xf>
    <xf numFmtId="0" fontId="11" fillId="0" borderId="0" xfId="0" applyNumberFormat="1" applyFont="1" applyBorder="1" applyAlignment="1" applyProtection="1">
      <alignment horizontal="center" vertical="center" wrapText="1"/>
      <protection locked="0" hidden="1"/>
    </xf>
    <xf numFmtId="0" fontId="11" fillId="0" borderId="0" xfId="0" applyNumberFormat="1" applyFont="1" applyBorder="1" applyAlignment="1" applyProtection="1">
      <alignment horizontal="right" vertical="center" wrapText="1"/>
      <protection locked="0" hidden="1"/>
    </xf>
    <xf numFmtId="39" fontId="11" fillId="0" borderId="0" xfId="0" applyNumberFormat="1" applyFont="1" applyBorder="1" applyAlignment="1" applyProtection="1">
      <alignment horizontal="right" vertical="center" wrapText="1"/>
      <protection locked="0" hidden="1"/>
    </xf>
    <xf numFmtId="0" fontId="9" fillId="0" borderId="0" xfId="0" applyFont="1" applyBorder="1" applyProtection="1">
      <protection locked="0"/>
    </xf>
    <xf numFmtId="0" fontId="11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164" fontId="0" fillId="0" borderId="0" xfId="0" applyNumberFormat="1" applyFill="1" applyProtection="1">
      <protection locked="0" hidden="1"/>
    </xf>
    <xf numFmtId="0" fontId="11" fillId="0" borderId="0" xfId="0" applyNumberFormat="1" applyFont="1" applyFill="1" applyBorder="1" applyAlignment="1" applyProtection="1">
      <alignment horizontal="center" vertical="top" wrapText="1"/>
      <protection locked="0" hidden="1"/>
    </xf>
    <xf numFmtId="0" fontId="11" fillId="0" borderId="0" xfId="0" applyNumberFormat="1" applyFont="1" applyFill="1" applyBorder="1" applyAlignment="1" applyProtection="1">
      <alignment horizontal="left" vertical="top" wrapText="1"/>
      <protection locked="0" hidden="1"/>
    </xf>
    <xf numFmtId="0" fontId="11" fillId="0" borderId="0" xfId="0" applyNumberFormat="1" applyFont="1" applyFill="1" applyBorder="1" applyAlignment="1" applyProtection="1">
      <alignment horizontal="right" vertical="center" wrapText="1"/>
      <protection locked="0" hidden="1"/>
    </xf>
    <xf numFmtId="39" fontId="11" fillId="0" borderId="0" xfId="0" applyNumberFormat="1" applyFont="1" applyFill="1" applyBorder="1" applyAlignment="1" applyProtection="1">
      <alignment horizontal="right" vertical="center" wrapText="1"/>
      <protection locked="0" hidden="1"/>
    </xf>
    <xf numFmtId="0" fontId="0" fillId="6" borderId="5" xfId="0" applyFill="1" applyBorder="1" applyAlignment="1" applyProtection="1">
      <alignment wrapText="1"/>
      <protection locked="0"/>
    </xf>
    <xf numFmtId="0" fontId="5" fillId="6" borderId="5" xfId="0" applyFont="1" applyFill="1" applyBorder="1" applyAlignment="1" applyProtection="1">
      <alignment horizontal="center" vertical="center" wrapText="1"/>
      <protection locked="0"/>
    </xf>
    <xf numFmtId="0" fontId="5" fillId="6" borderId="5" xfId="0" applyFont="1" applyFill="1" applyBorder="1" applyAlignment="1" applyProtection="1">
      <alignment horizontal="center" vertical="center" shrinkToFit="1"/>
      <protection locked="0"/>
    </xf>
    <xf numFmtId="0" fontId="0" fillId="6" borderId="5" xfId="0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0" fillId="7" borderId="6" xfId="0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vertical="center" wrapText="1"/>
      <protection locked="0" hidden="1"/>
    </xf>
    <xf numFmtId="49" fontId="9" fillId="0" borderId="0" xfId="0" applyNumberFormat="1" applyFont="1" applyFill="1" applyBorder="1" applyAlignment="1" applyProtection="1">
      <alignment vertical="center" wrapText="1"/>
      <protection locked="0" hidden="1"/>
    </xf>
    <xf numFmtId="0" fontId="2" fillId="0" borderId="0" xfId="0" applyFont="1" applyFill="1" applyBorder="1" applyProtection="1">
      <protection locked="0" hidden="1"/>
    </xf>
    <xf numFmtId="0" fontId="2" fillId="0" borderId="0" xfId="0" applyFont="1" applyFill="1" applyBorder="1" applyAlignment="1" applyProtection="1">
      <protection locked="0" hidden="1"/>
    </xf>
    <xf numFmtId="14" fontId="0" fillId="6" borderId="5" xfId="0" applyNumberFormat="1" applyFill="1" applyBorder="1" applyAlignment="1" applyProtection="1">
      <alignment horizontal="center" vertical="center" wrapText="1"/>
      <protection locked="0"/>
    </xf>
    <xf numFmtId="0" fontId="14" fillId="0" borderId="0" xfId="7"/>
    <xf numFmtId="0" fontId="14" fillId="4" borderId="8" xfId="7" applyFill="1" applyBorder="1"/>
    <xf numFmtId="0" fontId="14" fillId="4" borderId="9" xfId="7" applyFill="1" applyBorder="1"/>
    <xf numFmtId="0" fontId="14" fillId="4" borderId="11" xfId="7" applyFill="1" applyBorder="1"/>
    <xf numFmtId="0" fontId="14" fillId="4" borderId="0" xfId="7" applyFill="1" applyBorder="1"/>
    <xf numFmtId="0" fontId="14" fillId="0" borderId="0" xfId="7" applyBorder="1"/>
    <xf numFmtId="0" fontId="13" fillId="4" borderId="0" xfId="7" applyFont="1" applyFill="1" applyBorder="1" applyAlignment="1">
      <alignment horizontal="right"/>
    </xf>
    <xf numFmtId="14" fontId="0" fillId="0" borderId="0" xfId="0" applyNumberFormat="1" applyProtection="1">
      <protection locked="0"/>
    </xf>
    <xf numFmtId="11" fontId="0" fillId="0" borderId="0" xfId="0" applyNumberFormat="1" applyProtection="1">
      <protection locked="0"/>
    </xf>
    <xf numFmtId="11" fontId="0" fillId="0" borderId="0" xfId="0" applyNumberFormat="1" applyAlignment="1" applyProtection="1">
      <alignment vertical="center"/>
      <protection locked="0"/>
    </xf>
    <xf numFmtId="14" fontId="0" fillId="0" borderId="0" xfId="0" applyNumberFormat="1" applyAlignment="1" applyProtection="1">
      <alignment vertical="center"/>
      <protection locked="0"/>
    </xf>
    <xf numFmtId="14" fontId="0" fillId="7" borderId="6" xfId="0" applyNumberFormat="1" applyFill="1" applyBorder="1" applyAlignment="1" applyProtection="1">
      <alignment horizontal="center" vertical="center" wrapText="1"/>
    </xf>
    <xf numFmtId="0" fontId="0" fillId="3" borderId="5" xfId="0" applyFill="1" applyBorder="1" applyProtection="1">
      <protection locked="0"/>
    </xf>
    <xf numFmtId="166" fontId="5" fillId="0" borderId="5" xfId="0" applyNumberFormat="1" applyFont="1" applyBorder="1" applyAlignment="1" applyProtection="1">
      <alignment horizontal="center" vertical="center" shrinkToFit="1"/>
    </xf>
    <xf numFmtId="166" fontId="5" fillId="6" borderId="5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Alignment="1" applyProtection="1">
      <alignment horizontal="center" vertical="center" shrinkToFit="1"/>
      <protection locked="0"/>
    </xf>
    <xf numFmtId="164" fontId="0" fillId="5" borderId="5" xfId="0" applyNumberFormat="1" applyFill="1" applyBorder="1" applyAlignment="1" applyProtection="1">
      <alignment horizontal="center" vertical="center" wrapText="1"/>
    </xf>
    <xf numFmtId="164" fontId="0" fillId="7" borderId="5" xfId="0" applyNumberFormat="1" applyFill="1" applyBorder="1" applyAlignment="1" applyProtection="1">
      <alignment horizontal="center" vertical="center" wrapText="1"/>
    </xf>
    <xf numFmtId="0" fontId="2" fillId="7" borderId="5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vertical="center" shrinkToFit="1"/>
      <protection locked="0"/>
    </xf>
    <xf numFmtId="0" fontId="0" fillId="0" borderId="0" xfId="0" applyBorder="1" applyAlignment="1" applyProtection="1">
      <protection locked="0"/>
    </xf>
    <xf numFmtId="0" fontId="0" fillId="0" borderId="0" xfId="0" quotePrefix="1" applyProtection="1">
      <protection locked="0"/>
    </xf>
    <xf numFmtId="9" fontId="5" fillId="0" borderId="5" xfId="0" applyNumberFormat="1" applyFont="1" applyBorder="1" applyAlignment="1" applyProtection="1">
      <alignment horizontal="center" vertical="center" shrinkToFit="1"/>
    </xf>
    <xf numFmtId="166" fontId="5" fillId="0" borderId="22" xfId="0" applyNumberFormat="1" applyFont="1" applyBorder="1" applyAlignment="1" applyProtection="1">
      <alignment horizontal="center" vertical="center" shrinkToFit="1"/>
    </xf>
    <xf numFmtId="166" fontId="5" fillId="6" borderId="22" xfId="0" applyNumberFormat="1" applyFont="1" applyFill="1" applyBorder="1" applyAlignment="1" applyProtection="1">
      <alignment horizontal="center" vertical="center" shrinkToFit="1"/>
      <protection locked="0"/>
    </xf>
    <xf numFmtId="9" fontId="5" fillId="0" borderId="22" xfId="0" applyNumberFormat="1" applyFont="1" applyBorder="1" applyAlignment="1" applyProtection="1">
      <alignment horizontal="center" vertical="center" shrinkToFit="1"/>
    </xf>
    <xf numFmtId="0" fontId="5" fillId="6" borderId="22" xfId="0" applyFont="1" applyFill="1" applyBorder="1" applyAlignment="1" applyProtection="1">
      <alignment horizontal="center" vertical="center" wrapText="1"/>
      <protection locked="0"/>
    </xf>
    <xf numFmtId="0" fontId="5" fillId="6" borderId="22" xfId="0" applyFont="1" applyFill="1" applyBorder="1" applyAlignment="1" applyProtection="1">
      <alignment horizontal="center" vertical="center" shrinkToFit="1"/>
      <protection locked="0"/>
    </xf>
    <xf numFmtId="0" fontId="0" fillId="6" borderId="22" xfId="0" applyFill="1" applyBorder="1" applyAlignment="1" applyProtection="1">
      <alignment horizontal="center" vertical="center" wrapText="1"/>
      <protection locked="0"/>
    </xf>
    <xf numFmtId="166" fontId="18" fillId="0" borderId="25" xfId="0" applyNumberFormat="1" applyFont="1" applyBorder="1" applyAlignment="1" applyProtection="1">
      <alignment horizontal="center" vertical="center" wrapText="1"/>
      <protection locked="0"/>
    </xf>
    <xf numFmtId="166" fontId="5" fillId="0" borderId="25" xfId="0" applyNumberFormat="1" applyFont="1" applyBorder="1" applyAlignment="1" applyProtection="1">
      <alignment horizontal="center" vertical="center" wrapText="1"/>
      <protection locked="0"/>
    </xf>
    <xf numFmtId="166" fontId="0" fillId="0" borderId="0" xfId="0" applyNumberFormat="1" applyProtection="1">
      <protection locked="0"/>
    </xf>
    <xf numFmtId="10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0" fontId="12" fillId="0" borderId="27" xfId="0" applyFont="1" applyBorder="1" applyAlignment="1" applyProtection="1">
      <alignment horizontal="center" shrinkToFit="1"/>
    </xf>
    <xf numFmtId="0" fontId="12" fillId="0" borderId="0" xfId="0" applyFont="1" applyBorder="1" applyAlignment="1" applyProtection="1">
      <alignment horizontal="center" shrinkToFit="1"/>
    </xf>
    <xf numFmtId="0" fontId="4" fillId="0" borderId="0" xfId="0" applyFont="1" applyFill="1" applyBorder="1" applyAlignment="1" applyProtection="1">
      <alignment horizontal="center" vertical="center" wrapText="1"/>
    </xf>
    <xf numFmtId="0" fontId="0" fillId="0" borderId="0" xfId="0" applyFill="1" applyBorder="1" applyProtection="1"/>
    <xf numFmtId="0" fontId="1" fillId="0" borderId="0" xfId="0" applyFont="1" applyFill="1" applyBorder="1" applyAlignment="1" applyProtection="1">
      <alignment horizontal="center"/>
      <protection locked="0"/>
    </xf>
    <xf numFmtId="0" fontId="4" fillId="0" borderId="11" xfId="0" applyFont="1" applyFill="1" applyBorder="1" applyAlignment="1" applyProtection="1">
      <alignment horizontal="center" vertical="center" wrapText="1" shrinkToFit="1"/>
      <protection locked="0"/>
    </xf>
    <xf numFmtId="0" fontId="0" fillId="0" borderId="26" xfId="0" applyBorder="1" applyAlignment="1" applyProtection="1">
      <protection locked="0"/>
    </xf>
    <xf numFmtId="0" fontId="0" fillId="0" borderId="27" xfId="0" applyBorder="1" applyAlignment="1" applyProtection="1">
      <protection locked="0"/>
    </xf>
    <xf numFmtId="0" fontId="0" fillId="0" borderId="18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19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20" xfId="0" applyBorder="1" applyAlignment="1" applyProtection="1">
      <protection locked="0"/>
    </xf>
    <xf numFmtId="0" fontId="0" fillId="0" borderId="23" xfId="0" applyBorder="1" applyAlignment="1" applyProtection="1">
      <protection locked="0"/>
    </xf>
    <xf numFmtId="0" fontId="6" fillId="6" borderId="22" xfId="0" applyFont="1" applyFill="1" applyBorder="1" applyAlignment="1" applyProtection="1">
      <alignment horizontal="center" vertical="center" wrapText="1"/>
      <protection locked="0"/>
    </xf>
    <xf numFmtId="166" fontId="12" fillId="0" borderId="25" xfId="0" applyNumberFormat="1" applyFont="1" applyBorder="1" applyAlignment="1" applyProtection="1">
      <alignment horizontal="center" vertical="center"/>
    </xf>
    <xf numFmtId="0" fontId="6" fillId="0" borderId="25" xfId="0" applyFont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18" fillId="0" borderId="0" xfId="0" applyFont="1" applyBorder="1" applyAlignment="1" applyProtection="1">
      <alignment horizontal="center" vertical="center" wrapText="1"/>
    </xf>
    <xf numFmtId="0" fontId="0" fillId="0" borderId="0" xfId="0" applyProtection="1"/>
    <xf numFmtId="14" fontId="0" fillId="0" borderId="0" xfId="0" applyNumberFormat="1" applyProtection="1"/>
    <xf numFmtId="0" fontId="1" fillId="6" borderId="7" xfId="0" applyFont="1" applyFill="1" applyBorder="1" applyAlignment="1" applyProtection="1">
      <alignment horizontal="center" vertical="center"/>
      <protection locked="0"/>
    </xf>
    <xf numFmtId="14" fontId="1" fillId="6" borderId="23" xfId="0" applyNumberFormat="1" applyFont="1" applyFill="1" applyBorder="1" applyAlignment="1" applyProtection="1">
      <alignment horizontal="center" vertical="center"/>
      <protection locked="0"/>
    </xf>
    <xf numFmtId="49" fontId="1" fillId="6" borderId="23" xfId="0" applyNumberFormat="1" applyFont="1" applyFill="1" applyBorder="1" applyAlignment="1" applyProtection="1">
      <alignment horizontal="center" vertical="center"/>
      <protection locked="0"/>
    </xf>
    <xf numFmtId="0" fontId="8" fillId="0" borderId="0" xfId="4" applyAlignment="1">
      <alignment vertical="center"/>
    </xf>
    <xf numFmtId="0" fontId="8" fillId="0" borderId="0" xfId="4" applyAlignment="1">
      <alignment vertical="center"/>
    </xf>
    <xf numFmtId="0" fontId="18" fillId="0" borderId="25" xfId="0" applyFont="1" applyBorder="1" applyAlignment="1" applyProtection="1">
      <alignment horizontal="center" vertical="center" wrapText="1"/>
    </xf>
    <xf numFmtId="0" fontId="12" fillId="0" borderId="0" xfId="0" applyFont="1" applyBorder="1" applyAlignment="1" applyProtection="1">
      <alignment horizontal="center" vertical="center" shrinkToFit="1"/>
    </xf>
    <xf numFmtId="0" fontId="12" fillId="0" borderId="0" xfId="0" applyFont="1" applyBorder="1" applyAlignment="1" applyProtection="1">
      <alignment shrinkToFit="1"/>
    </xf>
    <xf numFmtId="0" fontId="5" fillId="0" borderId="5" xfId="0" applyNumberFormat="1" applyFont="1" applyFill="1" applyBorder="1" applyAlignment="1" applyProtection="1">
      <alignment horizontal="center" vertical="center" shrinkToFit="1"/>
    </xf>
    <xf numFmtId="0" fontId="5" fillId="0" borderId="22" xfId="0" applyNumberFormat="1" applyFont="1" applyFill="1" applyBorder="1" applyAlignment="1" applyProtection="1">
      <alignment horizontal="center" vertical="center" shrinkToFit="1"/>
    </xf>
    <xf numFmtId="0" fontId="12" fillId="0" borderId="24" xfId="0" applyFont="1" applyBorder="1" applyAlignment="1" applyProtection="1">
      <alignment vertical="center"/>
    </xf>
    <xf numFmtId="166" fontId="19" fillId="0" borderId="25" xfId="0" applyNumberFormat="1" applyFont="1" applyBorder="1" applyAlignment="1" applyProtection="1">
      <alignment horizontal="center" vertical="center" shrinkToFit="1"/>
    </xf>
    <xf numFmtId="167" fontId="5" fillId="5" borderId="5" xfId="0" applyNumberFormat="1" applyFont="1" applyFill="1" applyBorder="1" applyAlignment="1" applyProtection="1">
      <alignment horizontal="center" vertical="center" shrinkToFit="1"/>
    </xf>
    <xf numFmtId="2" fontId="5" fillId="0" borderId="5" xfId="0" applyNumberFormat="1" applyFont="1" applyBorder="1" applyAlignment="1" applyProtection="1">
      <alignment horizontal="center" vertical="center" shrinkToFit="1"/>
    </xf>
    <xf numFmtId="0" fontId="0" fillId="7" borderId="13" xfId="0" applyFill="1" applyBorder="1" applyAlignment="1" applyProtection="1">
      <alignment horizontal="center" vertical="center" wrapText="1"/>
    </xf>
    <xf numFmtId="164" fontId="0" fillId="7" borderId="21" xfId="0" applyNumberFormat="1" applyFill="1" applyBorder="1" applyAlignment="1" applyProtection="1">
      <alignment horizontal="center" vertical="center" wrapText="1"/>
    </xf>
    <xf numFmtId="166" fontId="5" fillId="6" borderId="21" xfId="0" applyNumberFormat="1" applyFont="1" applyFill="1" applyBorder="1" applyAlignment="1" applyProtection="1">
      <alignment horizontal="center" vertical="center" shrinkToFit="1"/>
    </xf>
    <xf numFmtId="166" fontId="5" fillId="6" borderId="10" xfId="0" applyNumberFormat="1" applyFont="1" applyFill="1" applyBorder="1" applyAlignment="1" applyProtection="1">
      <alignment horizontal="center" vertical="center" shrinkToFit="1"/>
    </xf>
    <xf numFmtId="0" fontId="0" fillId="5" borderId="14" xfId="0" applyFill="1" applyBorder="1" applyAlignment="1" applyProtection="1">
      <alignment horizontal="center" vertical="center"/>
    </xf>
    <xf numFmtId="164" fontId="0" fillId="5" borderId="29" xfId="0" applyNumberFormat="1" applyFill="1" applyBorder="1" applyAlignment="1" applyProtection="1">
      <alignment horizontal="center" vertical="center" wrapText="1"/>
    </xf>
    <xf numFmtId="0" fontId="0" fillId="7" borderId="29" xfId="0" applyFill="1" applyBorder="1" applyAlignment="1" applyProtection="1">
      <alignment horizontal="center" vertical="center" wrapText="1"/>
    </xf>
    <xf numFmtId="164" fontId="0" fillId="7" borderId="29" xfId="0" applyNumberFormat="1" applyFill="1" applyBorder="1" applyAlignment="1" applyProtection="1">
      <alignment horizontal="center" vertical="center" wrapText="1"/>
    </xf>
    <xf numFmtId="164" fontId="0" fillId="5" borderId="15" xfId="0" applyNumberFormat="1" applyFill="1" applyBorder="1" applyAlignment="1" applyProtection="1">
      <alignment horizontal="center" vertical="center" wrapText="1"/>
    </xf>
    <xf numFmtId="0" fontId="3" fillId="5" borderId="32" xfId="0" applyFont="1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/>
      <protection locked="0"/>
    </xf>
    <xf numFmtId="0" fontId="3" fillId="5" borderId="16" xfId="0" applyFont="1" applyFill="1" applyBorder="1" applyAlignment="1" applyProtection="1">
      <alignment horizontal="center" vertical="center"/>
      <protection locked="0"/>
    </xf>
    <xf numFmtId="0" fontId="0" fillId="6" borderId="33" xfId="0" applyFill="1" applyBorder="1" applyAlignment="1" applyProtection="1">
      <alignment wrapText="1"/>
      <protection locked="0"/>
    </xf>
    <xf numFmtId="0" fontId="5" fillId="6" borderId="33" xfId="0" applyFont="1" applyFill="1" applyBorder="1" applyAlignment="1" applyProtection="1">
      <alignment horizontal="center" vertical="center" shrinkToFit="1"/>
      <protection locked="0"/>
    </xf>
    <xf numFmtId="2" fontId="5" fillId="0" borderId="33" xfId="0" applyNumberFormat="1" applyFont="1" applyBorder="1" applyAlignment="1" applyProtection="1">
      <alignment horizontal="center" vertical="center" shrinkToFit="1"/>
    </xf>
    <xf numFmtId="167" fontId="5" fillId="5" borderId="33" xfId="0" applyNumberFormat="1" applyFont="1" applyFill="1" applyBorder="1" applyAlignment="1" applyProtection="1">
      <alignment horizontal="center" vertical="center" shrinkToFit="1"/>
    </xf>
    <xf numFmtId="167" fontId="5" fillId="5" borderId="30" xfId="0" applyNumberFormat="1" applyFont="1" applyFill="1" applyBorder="1" applyAlignment="1" applyProtection="1">
      <alignment horizontal="center" vertical="center" shrinkToFit="1"/>
    </xf>
    <xf numFmtId="167" fontId="5" fillId="5" borderId="17" xfId="0" applyNumberFormat="1" applyFont="1" applyFill="1" applyBorder="1" applyAlignment="1" applyProtection="1">
      <alignment horizontal="center" vertical="center" shrinkToFit="1"/>
    </xf>
    <xf numFmtId="167" fontId="12" fillId="0" borderId="31" xfId="0" applyNumberFormat="1" applyFont="1" applyBorder="1" applyAlignment="1" applyProtection="1">
      <alignment vertical="center"/>
    </xf>
    <xf numFmtId="49" fontId="0" fillId="0" borderId="0" xfId="0" applyNumberFormat="1" applyProtection="1"/>
    <xf numFmtId="0" fontId="15" fillId="4" borderId="12" xfId="7" applyFont="1" applyFill="1" applyBorder="1" applyAlignment="1">
      <alignment horizontal="left"/>
    </xf>
    <xf numFmtId="0" fontId="14" fillId="3" borderId="0" xfId="7" applyFill="1" applyBorder="1" applyAlignment="1">
      <alignment horizontal="right"/>
    </xf>
    <xf numFmtId="49" fontId="13" fillId="3" borderId="0" xfId="7" applyNumberFormat="1" applyFont="1" applyFill="1" applyBorder="1" applyAlignment="1">
      <alignment horizontal="right"/>
    </xf>
    <xf numFmtId="49" fontId="5" fillId="3" borderId="0" xfId="7" applyNumberFormat="1" applyFont="1" applyFill="1" applyBorder="1" applyAlignment="1">
      <alignment horizontal="right"/>
    </xf>
    <xf numFmtId="49" fontId="14" fillId="3" borderId="0" xfId="7" applyNumberFormat="1" applyFill="1" applyBorder="1" applyAlignment="1">
      <alignment horizontal="right"/>
    </xf>
    <xf numFmtId="165" fontId="14" fillId="3" borderId="0" xfId="7" applyNumberFormat="1" applyFill="1" applyBorder="1" applyAlignment="1">
      <alignment horizontal="right"/>
    </xf>
    <xf numFmtId="164" fontId="0" fillId="5" borderId="5" xfId="0" applyNumberFormat="1" applyFill="1" applyBorder="1" applyAlignment="1" applyProtection="1">
      <alignment horizontal="center" vertical="center" wrapText="1"/>
    </xf>
    <xf numFmtId="0" fontId="18" fillId="0" borderId="25" xfId="0" applyFont="1" applyBorder="1" applyAlignment="1" applyProtection="1">
      <alignment horizontal="center" vertical="center" wrapText="1"/>
    </xf>
    <xf numFmtId="0" fontId="0" fillId="7" borderId="24" xfId="0" applyFill="1" applyBorder="1" applyAlignment="1" applyProtection="1">
      <alignment horizontal="center" vertical="center"/>
    </xf>
    <xf numFmtId="0" fontId="0" fillId="7" borderId="25" xfId="0" applyFill="1" applyBorder="1" applyAlignment="1" applyProtection="1">
      <alignment horizontal="center" vertical="center"/>
    </xf>
    <xf numFmtId="0" fontId="0" fillId="7" borderId="20" xfId="0" applyFill="1" applyBorder="1" applyAlignment="1" applyProtection="1">
      <alignment horizontal="center" vertical="center"/>
    </xf>
    <xf numFmtId="0" fontId="0" fillId="7" borderId="23" xfId="0" applyFill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center" vertical="center" shrinkToFit="1"/>
    </xf>
    <xf numFmtId="0" fontId="0" fillId="0" borderId="5" xfId="0" applyBorder="1" applyAlignment="1" applyProtection="1">
      <alignment horizontal="center" vertical="center"/>
      <protection locked="0"/>
    </xf>
    <xf numFmtId="0" fontId="12" fillId="0" borderId="26" xfId="0" applyFont="1" applyBorder="1" applyAlignment="1" applyProtection="1">
      <alignment horizontal="center" shrinkToFit="1"/>
    </xf>
    <xf numFmtId="0" fontId="12" fillId="0" borderId="18" xfId="0" applyFont="1" applyBorder="1" applyAlignment="1" applyProtection="1">
      <alignment horizontal="center" shrinkToFit="1"/>
    </xf>
    <xf numFmtId="0" fontId="12" fillId="0" borderId="24" xfId="0" applyFont="1" applyBorder="1" applyAlignment="1" applyProtection="1">
      <alignment horizontal="center" vertical="center"/>
    </xf>
    <xf numFmtId="0" fontId="12" fillId="0" borderId="25" xfId="0" applyFont="1" applyBorder="1" applyAlignment="1" applyProtection="1">
      <alignment horizontal="center" vertical="center"/>
    </xf>
    <xf numFmtId="0" fontId="12" fillId="0" borderId="7" xfId="0" applyFont="1" applyBorder="1" applyAlignment="1" applyProtection="1">
      <alignment horizontal="center" vertical="center"/>
    </xf>
    <xf numFmtId="0" fontId="21" fillId="7" borderId="26" xfId="0" applyFont="1" applyFill="1" applyBorder="1" applyAlignment="1" applyProtection="1">
      <alignment horizontal="center" vertical="center"/>
    </xf>
    <xf numFmtId="0" fontId="21" fillId="7" borderId="27" xfId="0" applyFont="1" applyFill="1" applyBorder="1" applyAlignment="1" applyProtection="1">
      <alignment horizontal="center" vertical="center"/>
    </xf>
    <xf numFmtId="0" fontId="21" fillId="7" borderId="18" xfId="0" applyFont="1" applyFill="1" applyBorder="1" applyAlignment="1" applyProtection="1">
      <alignment horizontal="center" vertical="center"/>
    </xf>
    <xf numFmtId="0" fontId="21" fillId="7" borderId="4" xfId="0" applyFont="1" applyFill="1" applyBorder="1" applyAlignment="1" applyProtection="1">
      <alignment horizontal="center" vertical="center"/>
    </xf>
    <xf numFmtId="0" fontId="21" fillId="7" borderId="0" xfId="0" applyFont="1" applyFill="1" applyBorder="1" applyAlignment="1" applyProtection="1">
      <alignment horizontal="center" vertical="center"/>
    </xf>
    <xf numFmtId="0" fontId="21" fillId="7" borderId="19" xfId="0" applyFont="1" applyFill="1" applyBorder="1" applyAlignment="1" applyProtection="1">
      <alignment horizontal="center" vertical="center"/>
    </xf>
    <xf numFmtId="0" fontId="7" fillId="7" borderId="24" xfId="0" applyFont="1" applyFill="1" applyBorder="1" applyAlignment="1" applyProtection="1">
      <alignment horizontal="center"/>
    </xf>
    <xf numFmtId="0" fontId="7" fillId="7" borderId="25" xfId="0" applyFont="1" applyFill="1" applyBorder="1" applyAlignment="1" applyProtection="1">
      <alignment horizontal="center"/>
    </xf>
    <xf numFmtId="0" fontId="0" fillId="7" borderId="26" xfId="0" applyFill="1" applyBorder="1" applyAlignment="1" applyProtection="1">
      <alignment horizontal="center" vertical="center"/>
    </xf>
    <xf numFmtId="0" fontId="0" fillId="7" borderId="18" xfId="0" applyFill="1" applyBorder="1" applyAlignment="1" applyProtection="1">
      <alignment horizontal="center" vertical="center"/>
    </xf>
    <xf numFmtId="0" fontId="0" fillId="7" borderId="4" xfId="0" applyFill="1" applyBorder="1" applyAlignment="1" applyProtection="1">
      <alignment horizontal="center" vertical="center"/>
    </xf>
    <xf numFmtId="0" fontId="0" fillId="7" borderId="19" xfId="0" applyFill="1" applyBorder="1" applyAlignment="1" applyProtection="1">
      <alignment horizontal="center" vertical="center"/>
    </xf>
    <xf numFmtId="0" fontId="1" fillId="6" borderId="4" xfId="0" applyFont="1" applyFill="1" applyBorder="1" applyAlignment="1" applyProtection="1">
      <alignment horizontal="center" vertical="center"/>
      <protection locked="0"/>
    </xf>
    <xf numFmtId="0" fontId="1" fillId="6" borderId="19" xfId="0" applyFont="1" applyFill="1" applyBorder="1" applyAlignment="1" applyProtection="1">
      <alignment horizontal="center" vertical="center"/>
      <protection locked="0"/>
    </xf>
    <xf numFmtId="0" fontId="4" fillId="0" borderId="28" xfId="0" applyFont="1" applyFill="1" applyBorder="1" applyAlignment="1" applyProtection="1">
      <alignment horizontal="center" vertical="center" wrapText="1" shrinkToFit="1"/>
      <protection locked="0"/>
    </xf>
    <xf numFmtId="0" fontId="4" fillId="0" borderId="28" xfId="0" applyFont="1" applyFill="1" applyBorder="1" applyAlignment="1" applyProtection="1">
      <alignment horizontal="center" vertical="center" shrinkToFit="1"/>
      <protection locked="0"/>
    </xf>
    <xf numFmtId="0" fontId="4" fillId="0" borderId="26" xfId="0" applyFont="1" applyFill="1" applyBorder="1" applyAlignment="1" applyProtection="1">
      <alignment horizontal="right" vertical="center" shrinkToFit="1"/>
      <protection locked="0"/>
    </xf>
    <xf numFmtId="0" fontId="4" fillId="0" borderId="27" xfId="0" applyFont="1" applyFill="1" applyBorder="1" applyAlignment="1" applyProtection="1">
      <alignment horizontal="right" vertical="center" shrinkToFit="1"/>
      <protection locked="0"/>
    </xf>
    <xf numFmtId="0" fontId="4" fillId="0" borderId="18" xfId="0" applyFont="1" applyFill="1" applyBorder="1" applyAlignment="1" applyProtection="1">
      <alignment horizontal="right" vertical="center" shrinkToFit="1"/>
      <protection locked="0"/>
    </xf>
    <xf numFmtId="0" fontId="4" fillId="0" borderId="3" xfId="0" applyFont="1" applyFill="1" applyBorder="1" applyAlignment="1" applyProtection="1">
      <alignment horizontal="right" vertical="center" shrinkToFit="1"/>
      <protection locked="0"/>
    </xf>
    <xf numFmtId="0" fontId="4" fillId="0" borderId="20" xfId="0" applyFont="1" applyFill="1" applyBorder="1" applyAlignment="1" applyProtection="1">
      <alignment horizontal="right" vertical="center" shrinkToFit="1"/>
      <protection locked="0"/>
    </xf>
    <xf numFmtId="0" fontId="4" fillId="0" borderId="23" xfId="0" applyFont="1" applyFill="1" applyBorder="1" applyAlignment="1" applyProtection="1">
      <alignment horizontal="right" vertical="center" shrinkToFit="1"/>
      <protection locked="0"/>
    </xf>
    <xf numFmtId="0" fontId="18" fillId="0" borderId="28" xfId="0" applyFont="1" applyBorder="1" applyAlignment="1" applyProtection="1">
      <alignment horizontal="center" vertical="center" wrapText="1"/>
    </xf>
    <xf numFmtId="0" fontId="12" fillId="0" borderId="5" xfId="0" applyFont="1" applyBorder="1" applyAlignment="1" applyProtection="1">
      <alignment horizontal="center" vertical="center" shrinkToFit="1"/>
    </xf>
    <xf numFmtId="0" fontId="12" fillId="0" borderId="27" xfId="0" applyFont="1" applyBorder="1" applyAlignment="1" applyProtection="1">
      <alignment horizontal="center" shrinkToFit="1"/>
    </xf>
    <xf numFmtId="0" fontId="12" fillId="0" borderId="0" xfId="0" applyFont="1" applyBorder="1" applyAlignment="1" applyProtection="1">
      <alignment horizontal="center" shrinkToFit="1"/>
    </xf>
    <xf numFmtId="0" fontId="0" fillId="0" borderId="3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4" fillId="7" borderId="26" xfId="0" applyFont="1" applyFill="1" applyBorder="1" applyAlignment="1" applyProtection="1">
      <alignment horizontal="center" vertical="center" wrapText="1"/>
      <protection locked="0"/>
    </xf>
    <xf numFmtId="0" fontId="4" fillId="7" borderId="27" xfId="0" applyFont="1" applyFill="1" applyBorder="1" applyAlignment="1" applyProtection="1">
      <alignment horizontal="center" vertical="center" wrapText="1"/>
      <protection locked="0"/>
    </xf>
    <xf numFmtId="0" fontId="4" fillId="7" borderId="24" xfId="0" applyFont="1" applyFill="1" applyBorder="1" applyAlignment="1" applyProtection="1">
      <alignment horizontal="center" vertical="center" wrapText="1"/>
    </xf>
    <xf numFmtId="0" fontId="0" fillId="7" borderId="25" xfId="0" applyFill="1" applyBorder="1" applyProtection="1"/>
  </cellXfs>
  <cellStyles count="9">
    <cellStyle name="Normal 2 10" xfId="1"/>
    <cellStyle name="Normalny" xfId="0" builtinId="0"/>
    <cellStyle name="Normalny 2" xfId="2"/>
    <cellStyle name="Normalny 3" xfId="3"/>
    <cellStyle name="Normalny 4" xfId="4"/>
    <cellStyle name="Normalny 5" xfId="5"/>
    <cellStyle name="Normalny 5 2" xfId="6"/>
    <cellStyle name="Normalny 6" xfId="7"/>
    <cellStyle name="Normalny 7" xfId="8"/>
  </cellStyles>
  <dxfs count="15"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  <fill>
        <patternFill patternType="lightUp">
          <fgColor theme="0" tint="-0.14996795556505021"/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 tint="-0.24994659260841701"/>
      </font>
      <fill>
        <patternFill patternType="lightUp"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2</xdr:row>
          <xdr:rowOff>171450</xdr:rowOff>
        </xdr:from>
        <xdr:to>
          <xdr:col>3</xdr:col>
          <xdr:colOff>228600</xdr:colOff>
          <xdr:row>5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9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SharePoint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E9"/>
  <sheetViews>
    <sheetView workbookViewId="0">
      <selection activeCell="B6" sqref="B6"/>
    </sheetView>
  </sheetViews>
  <sheetFormatPr defaultRowHeight="12"/>
  <sheetData>
    <row r="1" spans="1:5" ht="12.75">
      <c r="A1" s="38"/>
      <c r="B1" s="39"/>
      <c r="C1" s="39"/>
      <c r="D1" s="39"/>
      <c r="E1" s="37"/>
    </row>
    <row r="2" spans="1:5" ht="12.75">
      <c r="A2" s="40"/>
      <c r="B2" s="41"/>
      <c r="C2" s="41"/>
      <c r="D2" s="41"/>
      <c r="E2" s="37"/>
    </row>
    <row r="3" spans="1:5" ht="12.75">
      <c r="A3" s="40"/>
      <c r="B3" s="41"/>
      <c r="C3" s="41"/>
      <c r="D3" s="41"/>
      <c r="E3" s="37"/>
    </row>
    <row r="4" spans="1:5" ht="12.75">
      <c r="A4" s="40"/>
      <c r="B4" s="126"/>
      <c r="C4" s="126"/>
      <c r="D4" s="126"/>
      <c r="E4" s="37"/>
    </row>
    <row r="5" spans="1:5" ht="12.75">
      <c r="A5" s="40"/>
      <c r="B5" s="41"/>
      <c r="C5" s="41"/>
      <c r="D5" s="41"/>
      <c r="E5" s="37"/>
    </row>
    <row r="6" spans="1:5" ht="12.75" customHeight="1">
      <c r="A6" s="40"/>
      <c r="B6" s="43" t="s">
        <v>28</v>
      </c>
      <c r="C6" s="127" t="s">
        <v>30</v>
      </c>
      <c r="D6" s="127"/>
      <c r="E6" s="42"/>
    </row>
    <row r="7" spans="1:5" ht="12.75">
      <c r="A7" s="40"/>
      <c r="B7" s="43"/>
      <c r="C7" s="130"/>
      <c r="D7" s="130"/>
      <c r="E7" s="37"/>
    </row>
    <row r="8" spans="1:5" ht="12.75">
      <c r="A8" s="40"/>
      <c r="B8" s="43"/>
      <c r="C8" s="128"/>
      <c r="D8" s="129"/>
      <c r="E8" s="37"/>
    </row>
    <row r="9" spans="1:5" ht="12.75">
      <c r="A9" s="40"/>
      <c r="B9" s="43" t="s">
        <v>29</v>
      </c>
      <c r="C9" s="131">
        <v>42174</v>
      </c>
      <c r="D9" s="131"/>
      <c r="E9" s="37"/>
    </row>
  </sheetData>
  <mergeCells count="5">
    <mergeCell ref="B4:D4"/>
    <mergeCell ref="C6:D6"/>
    <mergeCell ref="C8:D8"/>
    <mergeCell ref="C7:D7"/>
    <mergeCell ref="C9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>
    <tabColor rgb="FF00B050"/>
    <pageSetUpPr fitToPage="1"/>
  </sheetPr>
  <dimension ref="A1:AB400"/>
  <sheetViews>
    <sheetView tabSelected="1" zoomScaleNormal="100" workbookViewId="0">
      <selection activeCell="A9" sqref="A9:K12"/>
    </sheetView>
  </sheetViews>
  <sheetFormatPr defaultRowHeight="12"/>
  <cols>
    <col min="1" max="1" width="19.5703125" style="6" customWidth="1"/>
    <col min="2" max="2" width="11.5703125" style="44" customWidth="1"/>
    <col min="3" max="3" width="10.140625" style="6" customWidth="1"/>
    <col min="4" max="4" width="11.28515625" style="45" customWidth="1"/>
    <col min="5" max="5" width="3.140625" style="6" customWidth="1"/>
    <col min="6" max="6" width="39.7109375" style="6" customWidth="1"/>
    <col min="7" max="7" width="49.7109375" style="6" customWidth="1"/>
    <col min="8" max="8" width="4.7109375" style="6" customWidth="1"/>
    <col min="9" max="9" width="11" style="6" customWidth="1"/>
    <col min="10" max="10" width="12" style="6" customWidth="1"/>
    <col min="11" max="11" width="13.28515625" style="6" customWidth="1"/>
    <col min="12" max="12" width="9.85546875" style="6" customWidth="1"/>
    <col min="13" max="13" width="14.5703125" style="6" customWidth="1"/>
    <col min="14" max="14" width="10.85546875" style="6" customWidth="1"/>
    <col min="15" max="15" width="14.28515625" style="6" customWidth="1"/>
    <col min="16" max="16" width="4.42578125" style="6" customWidth="1"/>
    <col min="17" max="17" width="7.140625" style="6" customWidth="1"/>
    <col min="18" max="18" width="11.42578125" style="9" customWidth="1"/>
    <col min="19" max="19" width="10.7109375" style="9" customWidth="1"/>
    <col min="20" max="20" width="10.5703125" style="9" customWidth="1"/>
    <col min="21" max="21" width="11" style="6" customWidth="1"/>
    <col min="22" max="22" width="16.140625" style="6" customWidth="1"/>
    <col min="23" max="23" width="13.42578125" style="6" customWidth="1"/>
    <col min="24" max="24" width="19.7109375" style="6" bestFit="1" customWidth="1"/>
    <col min="25" max="25" width="18.7109375" style="6" bestFit="1" customWidth="1"/>
    <col min="26" max="26" width="16.5703125" style="6" bestFit="1" customWidth="1"/>
    <col min="27" max="27" width="9.140625" style="6"/>
    <col min="28" max="28" width="9.42578125" style="6" bestFit="1" customWidth="1"/>
    <col min="29" max="16384" width="9.140625" style="6"/>
  </cols>
  <sheetData>
    <row r="1" spans="1:28" ht="12.75" customHeight="1">
      <c r="E1" s="145" t="s">
        <v>14</v>
      </c>
      <c r="F1" s="146"/>
      <c r="G1" s="147"/>
      <c r="H1" s="153"/>
      <c r="I1" s="154"/>
      <c r="J1" s="169" t="str">
        <f>IF(OR(ISBLANK(G4),G4=""),"Enter order date!","")</f>
        <v/>
      </c>
      <c r="K1" s="169"/>
      <c r="L1" s="169"/>
      <c r="M1" s="169"/>
      <c r="N1" s="169"/>
      <c r="O1" s="169"/>
      <c r="P1" s="71"/>
      <c r="Q1" s="138"/>
      <c r="R1" s="138"/>
      <c r="S1" s="138"/>
      <c r="T1" s="168" t="s">
        <v>31</v>
      </c>
      <c r="U1" s="168"/>
      <c r="V1" s="139" t="s">
        <v>30</v>
      </c>
    </row>
    <row r="2" spans="1:28" ht="13.5" customHeight="1" thickBot="1">
      <c r="E2" s="148"/>
      <c r="F2" s="149"/>
      <c r="G2" s="150"/>
      <c r="H2" s="155"/>
      <c r="I2" s="156"/>
      <c r="J2" s="170"/>
      <c r="K2" s="170"/>
      <c r="L2" s="170"/>
      <c r="M2" s="170"/>
      <c r="N2" s="170"/>
      <c r="O2" s="170"/>
      <c r="P2" s="72"/>
      <c r="Q2" s="138"/>
      <c r="R2" s="138"/>
      <c r="S2" s="138"/>
      <c r="T2" s="168"/>
      <c r="U2" s="168"/>
      <c r="V2" s="139"/>
    </row>
    <row r="3" spans="1:28" ht="16.5" customHeight="1" thickBot="1">
      <c r="E3" s="151" t="s">
        <v>15</v>
      </c>
      <c r="F3" s="152"/>
      <c r="G3" s="92">
        <v>123</v>
      </c>
      <c r="H3" s="157"/>
      <c r="I3" s="158"/>
      <c r="J3" s="170" t="str">
        <f>IF(OR(ISBLANK(G6),G6=""),"Enter order type!","")</f>
        <v/>
      </c>
      <c r="K3" s="170"/>
      <c r="L3" s="170"/>
      <c r="M3" s="170"/>
      <c r="N3" s="170"/>
      <c r="O3" s="170"/>
      <c r="P3" s="72"/>
      <c r="Q3" s="98"/>
      <c r="R3" s="98"/>
      <c r="S3" s="98"/>
      <c r="T3" s="98"/>
      <c r="U3" s="98"/>
      <c r="W3" s="58"/>
    </row>
    <row r="4" spans="1:28" ht="14.25" customHeight="1" thickBot="1">
      <c r="C4" s="6" t="s">
        <v>13</v>
      </c>
      <c r="E4" s="151" t="s">
        <v>16</v>
      </c>
      <c r="F4" s="152"/>
      <c r="G4" s="93">
        <v>42195</v>
      </c>
      <c r="H4" s="157"/>
      <c r="I4" s="158"/>
      <c r="J4" s="170"/>
      <c r="K4" s="170"/>
      <c r="L4" s="170"/>
      <c r="M4" s="170"/>
      <c r="N4" s="170"/>
      <c r="O4" s="170"/>
      <c r="P4" s="72"/>
      <c r="Q4" s="98"/>
      <c r="R4" s="99"/>
      <c r="S4" s="99"/>
      <c r="T4" s="140" t="s">
        <v>32</v>
      </c>
      <c r="U4" s="141"/>
    </row>
    <row r="5" spans="1:28" s="7" customFormat="1" ht="15" customHeight="1" thickBot="1">
      <c r="B5" s="47"/>
      <c r="C5" s="6"/>
      <c r="D5" s="46"/>
      <c r="E5" s="181" t="s">
        <v>17</v>
      </c>
      <c r="F5" s="182"/>
      <c r="G5" s="94" t="s">
        <v>140</v>
      </c>
      <c r="H5" s="161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3"/>
      <c r="V5" s="56"/>
      <c r="W5" s="56"/>
    </row>
    <row r="6" spans="1:28" s="7" customFormat="1" ht="25.5" customHeight="1" thickBot="1">
      <c r="B6" s="47"/>
      <c r="C6" s="6"/>
      <c r="D6" s="46"/>
      <c r="E6" s="183" t="s">
        <v>18</v>
      </c>
      <c r="F6" s="184"/>
      <c r="G6" s="92" t="s">
        <v>19</v>
      </c>
      <c r="H6" s="164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6"/>
      <c r="V6" s="56"/>
      <c r="W6" s="56"/>
    </row>
    <row r="7" spans="1:28" s="7" customFormat="1" ht="47.25" customHeight="1" thickBot="1">
      <c r="B7" s="47"/>
      <c r="C7" s="6"/>
      <c r="D7" s="46"/>
      <c r="E7" s="73"/>
      <c r="F7" s="74"/>
      <c r="G7" s="75"/>
      <c r="H7" s="160"/>
      <c r="I7" s="160"/>
      <c r="J7" s="160"/>
      <c r="K7" s="159"/>
      <c r="L7" s="159"/>
      <c r="M7" s="76"/>
      <c r="N7" s="167" t="str">
        <f>IF(COUNTIFS(O9:O33,"&gt;100%")&gt;0,"Istnieją przekroczenia budżetu","")</f>
        <v/>
      </c>
      <c r="O7" s="167"/>
      <c r="P7" s="89"/>
      <c r="Q7" s="52"/>
      <c r="R7" s="52"/>
      <c r="S7" s="52"/>
      <c r="T7" s="52"/>
      <c r="U7" s="52"/>
      <c r="V7" s="52"/>
      <c r="W7" s="52"/>
    </row>
    <row r="8" spans="1:28" ht="62.25" customHeight="1">
      <c r="A8" s="31" t="s">
        <v>143</v>
      </c>
      <c r="B8" s="48" t="s">
        <v>142</v>
      </c>
      <c r="C8" s="31" t="s">
        <v>141</v>
      </c>
      <c r="D8" s="106" t="s">
        <v>144</v>
      </c>
      <c r="E8" s="110" t="s">
        <v>145</v>
      </c>
      <c r="F8" s="112" t="s">
        <v>33</v>
      </c>
      <c r="G8" s="112" t="s">
        <v>32</v>
      </c>
      <c r="H8" s="113" t="s">
        <v>136</v>
      </c>
      <c r="I8" s="113" t="s">
        <v>137</v>
      </c>
      <c r="J8" s="111" t="s">
        <v>135</v>
      </c>
      <c r="K8" s="114" t="s">
        <v>138</v>
      </c>
      <c r="L8" s="107"/>
      <c r="M8" s="53"/>
      <c r="N8" s="132"/>
      <c r="O8" s="132"/>
      <c r="P8" s="55"/>
      <c r="Q8" s="55"/>
      <c r="R8" s="54"/>
      <c r="S8" s="53"/>
      <c r="T8" s="53"/>
      <c r="U8" s="55"/>
      <c r="V8" s="54"/>
      <c r="W8" s="54"/>
    </row>
    <row r="9" spans="1:28" ht="12.75">
      <c r="A9" s="125">
        <f>IF(ISBLANK(F9),"",$G$3)</f>
        <v>123</v>
      </c>
      <c r="B9" s="91">
        <f t="shared" ref="B9:B33" si="0">$G$4</f>
        <v>42195</v>
      </c>
      <c r="C9" s="90" t="str">
        <f t="shared" ref="C9:C33" si="1">$G$5</f>
        <v>Admin</v>
      </c>
      <c r="D9" s="91">
        <f ca="1">TODAY()</f>
        <v>42198</v>
      </c>
      <c r="E9" s="115">
        <v>1</v>
      </c>
      <c r="F9" s="26" t="s">
        <v>36</v>
      </c>
      <c r="G9" s="26" t="s">
        <v>146</v>
      </c>
      <c r="H9" s="28" t="s">
        <v>23</v>
      </c>
      <c r="I9" s="105">
        <v>5</v>
      </c>
      <c r="J9" s="104">
        <f>IFERROR(VLOOKUP(F9,Catalog!B:C,2,0),"")</f>
        <v>110</v>
      </c>
      <c r="K9" s="122">
        <f>IF(I9&lt;&gt;"",I9*J9,"")</f>
        <v>550</v>
      </c>
      <c r="L9" s="108"/>
      <c r="M9" s="100"/>
      <c r="N9" s="50"/>
      <c r="O9" s="59"/>
      <c r="P9" s="28"/>
      <c r="Q9" s="27"/>
      <c r="R9" s="51"/>
      <c r="S9" s="50"/>
      <c r="T9" s="50"/>
      <c r="U9" s="36"/>
      <c r="V9" s="29"/>
      <c r="W9" s="29"/>
    </row>
    <row r="10" spans="1:28" ht="12.75">
      <c r="A10" s="125">
        <f t="shared" ref="A10:A33" si="2">IF(ISBLANK(F10),"",$G$3)</f>
        <v>123</v>
      </c>
      <c r="B10" s="91">
        <f t="shared" si="0"/>
        <v>42195</v>
      </c>
      <c r="C10" s="90" t="str">
        <f t="shared" si="1"/>
        <v>Admin</v>
      </c>
      <c r="D10" s="91">
        <f t="shared" ref="D10:D33" ca="1" si="3">TODAY()</f>
        <v>42198</v>
      </c>
      <c r="E10" s="115">
        <v>2</v>
      </c>
      <c r="F10" s="26" t="s">
        <v>35</v>
      </c>
      <c r="G10" s="26" t="s">
        <v>147</v>
      </c>
      <c r="H10" s="28" t="s">
        <v>24</v>
      </c>
      <c r="I10" s="105">
        <v>3</v>
      </c>
      <c r="J10" s="104">
        <f>IFERROR(VLOOKUP(F10,Catalog!B:C,2,0),"")</f>
        <v>100</v>
      </c>
      <c r="K10" s="122">
        <f t="shared" ref="K10:K33" si="4">IF(I10&lt;&gt;"",I10*J10,"")</f>
        <v>300</v>
      </c>
      <c r="L10" s="108"/>
      <c r="M10" s="100"/>
      <c r="N10" s="50"/>
      <c r="O10" s="59"/>
      <c r="P10" s="28"/>
      <c r="Q10" s="27"/>
      <c r="R10" s="51"/>
      <c r="S10" s="50"/>
      <c r="T10" s="50"/>
      <c r="U10" s="36"/>
      <c r="V10" s="29"/>
      <c r="W10" s="29"/>
      <c r="Y10" s="68"/>
      <c r="Z10" s="68"/>
      <c r="AA10" s="69"/>
      <c r="AB10" s="68"/>
    </row>
    <row r="11" spans="1:28" ht="12.75">
      <c r="A11" s="125">
        <f t="shared" si="2"/>
        <v>123</v>
      </c>
      <c r="B11" s="91">
        <f t="shared" si="0"/>
        <v>42195</v>
      </c>
      <c r="C11" s="90" t="str">
        <f t="shared" si="1"/>
        <v>Admin</v>
      </c>
      <c r="D11" s="91">
        <f t="shared" ca="1" si="3"/>
        <v>42198</v>
      </c>
      <c r="E11" s="115">
        <v>3</v>
      </c>
      <c r="F11" s="26" t="s">
        <v>35</v>
      </c>
      <c r="G11" s="26" t="s">
        <v>148</v>
      </c>
      <c r="H11" s="28" t="s">
        <v>1</v>
      </c>
      <c r="I11" s="105">
        <v>115.5</v>
      </c>
      <c r="J11" s="104">
        <f>IFERROR(VLOOKUP(F11,Catalog!B:C,2,0),"")</f>
        <v>100</v>
      </c>
      <c r="K11" s="122">
        <f t="shared" si="4"/>
        <v>11550</v>
      </c>
      <c r="L11" s="108"/>
      <c r="M11" s="100"/>
      <c r="N11" s="50"/>
      <c r="O11" s="59"/>
      <c r="P11" s="28"/>
      <c r="Q11" s="27"/>
      <c r="R11" s="51"/>
      <c r="S11" s="50"/>
      <c r="T11" s="50"/>
      <c r="U11" s="29"/>
      <c r="V11" s="29"/>
      <c r="W11" s="29"/>
      <c r="Y11" s="68"/>
    </row>
    <row r="12" spans="1:28" ht="12.75">
      <c r="A12" s="125">
        <f t="shared" si="2"/>
        <v>123</v>
      </c>
      <c r="B12" s="91">
        <f t="shared" si="0"/>
        <v>42195</v>
      </c>
      <c r="C12" s="90" t="str">
        <f t="shared" si="1"/>
        <v>Admin</v>
      </c>
      <c r="D12" s="91">
        <f t="shared" ca="1" si="3"/>
        <v>42198</v>
      </c>
      <c r="E12" s="115">
        <v>4</v>
      </c>
      <c r="F12" s="26" t="s">
        <v>63</v>
      </c>
      <c r="G12" s="26" t="s">
        <v>149</v>
      </c>
      <c r="H12" s="28" t="s">
        <v>5</v>
      </c>
      <c r="I12" s="105">
        <v>4</v>
      </c>
      <c r="J12" s="104">
        <f>IFERROR(VLOOKUP(F12,Catalog!B:C,2,0),"")</f>
        <v>380</v>
      </c>
      <c r="K12" s="122">
        <f t="shared" si="4"/>
        <v>1520</v>
      </c>
      <c r="L12" s="108"/>
      <c r="M12" s="100"/>
      <c r="N12" s="50"/>
      <c r="O12" s="59"/>
      <c r="P12" s="28"/>
      <c r="Q12" s="27"/>
      <c r="R12" s="51"/>
      <c r="S12" s="50"/>
      <c r="T12" s="50"/>
      <c r="U12" s="29"/>
      <c r="V12" s="29"/>
      <c r="W12" s="29"/>
    </row>
    <row r="13" spans="1:28" ht="12.75">
      <c r="A13" s="125" t="str">
        <f t="shared" si="2"/>
        <v/>
      </c>
      <c r="B13" s="91">
        <f t="shared" si="0"/>
        <v>42195</v>
      </c>
      <c r="C13" s="90" t="str">
        <f t="shared" si="1"/>
        <v>Admin</v>
      </c>
      <c r="D13" s="91">
        <f t="shared" ca="1" si="3"/>
        <v>42198</v>
      </c>
      <c r="E13" s="115">
        <v>5</v>
      </c>
      <c r="F13" s="26"/>
      <c r="G13" s="26"/>
      <c r="H13" s="28"/>
      <c r="I13" s="105"/>
      <c r="J13" s="104" t="str">
        <f>IFERROR(VLOOKUP(F13,Catalog!B:C,2,0),"")</f>
        <v/>
      </c>
      <c r="K13" s="122" t="str">
        <f t="shared" si="4"/>
        <v/>
      </c>
      <c r="L13" s="108"/>
      <c r="M13" s="100"/>
      <c r="N13" s="50"/>
      <c r="O13" s="59"/>
      <c r="P13" s="28"/>
      <c r="Q13" s="27"/>
      <c r="R13" s="51"/>
      <c r="S13" s="50"/>
      <c r="T13" s="50"/>
      <c r="U13" s="29"/>
      <c r="V13" s="29"/>
      <c r="W13" s="29"/>
    </row>
    <row r="14" spans="1:28">
      <c r="A14" s="125" t="str">
        <f t="shared" si="2"/>
        <v/>
      </c>
      <c r="B14" s="91">
        <f t="shared" si="0"/>
        <v>42195</v>
      </c>
      <c r="C14" s="90" t="str">
        <f t="shared" si="1"/>
        <v>Admin</v>
      </c>
      <c r="D14" s="91">
        <f t="shared" ca="1" si="3"/>
        <v>42198</v>
      </c>
      <c r="E14" s="116">
        <v>6</v>
      </c>
      <c r="F14" s="26"/>
      <c r="G14" s="26"/>
      <c r="H14" s="28"/>
      <c r="I14" s="105"/>
      <c r="J14" s="104" t="str">
        <f>IFERROR(VLOOKUP(F14,Catalog!B:C,2,0),"")</f>
        <v/>
      </c>
      <c r="K14" s="122" t="str">
        <f t="shared" si="4"/>
        <v/>
      </c>
      <c r="L14" s="108"/>
      <c r="M14" s="100"/>
      <c r="N14" s="50"/>
      <c r="O14" s="59"/>
      <c r="P14" s="28"/>
      <c r="Q14" s="27"/>
      <c r="R14" s="51"/>
      <c r="S14" s="50"/>
      <c r="T14" s="50"/>
      <c r="U14" s="29"/>
      <c r="V14" s="29"/>
      <c r="W14" s="29"/>
    </row>
    <row r="15" spans="1:28" ht="12.75">
      <c r="A15" s="125" t="str">
        <f t="shared" si="2"/>
        <v/>
      </c>
      <c r="B15" s="91">
        <f t="shared" si="0"/>
        <v>42195</v>
      </c>
      <c r="C15" s="90" t="str">
        <f t="shared" si="1"/>
        <v>Admin</v>
      </c>
      <c r="D15" s="91">
        <f t="shared" ca="1" si="3"/>
        <v>42198</v>
      </c>
      <c r="E15" s="115">
        <v>7</v>
      </c>
      <c r="F15" s="26"/>
      <c r="G15" s="26"/>
      <c r="H15" s="28"/>
      <c r="I15" s="105"/>
      <c r="J15" s="104" t="str">
        <f>IFERROR(VLOOKUP(F15,Catalog!B:C,2,0),"")</f>
        <v/>
      </c>
      <c r="K15" s="122" t="str">
        <f t="shared" si="4"/>
        <v/>
      </c>
      <c r="L15" s="108"/>
      <c r="M15" s="100"/>
      <c r="N15" s="50"/>
      <c r="O15" s="59"/>
      <c r="P15" s="28"/>
      <c r="Q15" s="27"/>
      <c r="R15" s="51"/>
      <c r="S15" s="50"/>
      <c r="T15" s="50"/>
      <c r="U15" s="29"/>
      <c r="V15" s="29"/>
      <c r="W15" s="29"/>
    </row>
    <row r="16" spans="1:28" ht="12.75">
      <c r="A16" s="125" t="str">
        <f t="shared" si="2"/>
        <v/>
      </c>
      <c r="B16" s="91">
        <f t="shared" si="0"/>
        <v>42195</v>
      </c>
      <c r="C16" s="90" t="str">
        <f t="shared" si="1"/>
        <v>Admin</v>
      </c>
      <c r="D16" s="91">
        <f t="shared" ca="1" si="3"/>
        <v>42198</v>
      </c>
      <c r="E16" s="115">
        <v>8</v>
      </c>
      <c r="F16" s="26"/>
      <c r="G16" s="26"/>
      <c r="H16" s="28"/>
      <c r="I16" s="105"/>
      <c r="J16" s="104" t="str">
        <f>IFERROR(VLOOKUP(F16,Catalog!B:C,2,0),"")</f>
        <v/>
      </c>
      <c r="K16" s="122" t="str">
        <f t="shared" si="4"/>
        <v/>
      </c>
      <c r="L16" s="108"/>
      <c r="M16" s="100"/>
      <c r="N16" s="50"/>
      <c r="O16" s="59"/>
      <c r="P16" s="28"/>
      <c r="Q16" s="27"/>
      <c r="R16" s="51"/>
      <c r="S16" s="50"/>
      <c r="T16" s="50"/>
      <c r="U16" s="29"/>
      <c r="V16" s="29"/>
      <c r="W16" s="29"/>
    </row>
    <row r="17" spans="1:23" ht="12.75">
      <c r="A17" s="125" t="str">
        <f t="shared" si="2"/>
        <v/>
      </c>
      <c r="B17" s="91">
        <f t="shared" si="0"/>
        <v>42195</v>
      </c>
      <c r="C17" s="90" t="str">
        <f t="shared" si="1"/>
        <v>Admin</v>
      </c>
      <c r="D17" s="91">
        <f t="shared" ca="1" si="3"/>
        <v>42198</v>
      </c>
      <c r="E17" s="115">
        <v>9</v>
      </c>
      <c r="F17" s="26"/>
      <c r="G17" s="26"/>
      <c r="H17" s="28"/>
      <c r="I17" s="105"/>
      <c r="J17" s="104" t="str">
        <f>IFERROR(VLOOKUP(F17,Catalog!B:C,2,0),"")</f>
        <v/>
      </c>
      <c r="K17" s="122" t="str">
        <f t="shared" si="4"/>
        <v/>
      </c>
      <c r="L17" s="108"/>
      <c r="M17" s="100"/>
      <c r="N17" s="50"/>
      <c r="O17" s="59"/>
      <c r="P17" s="28"/>
      <c r="Q17" s="27"/>
      <c r="R17" s="51"/>
      <c r="S17" s="50"/>
      <c r="T17" s="50"/>
      <c r="U17" s="29"/>
      <c r="V17" s="29"/>
      <c r="W17" s="29"/>
    </row>
    <row r="18" spans="1:23">
      <c r="A18" s="125" t="str">
        <f t="shared" si="2"/>
        <v/>
      </c>
      <c r="B18" s="91">
        <f t="shared" si="0"/>
        <v>42195</v>
      </c>
      <c r="C18" s="90" t="str">
        <f t="shared" si="1"/>
        <v>Admin</v>
      </c>
      <c r="D18" s="91">
        <f t="shared" ca="1" si="3"/>
        <v>42198</v>
      </c>
      <c r="E18" s="116">
        <v>10</v>
      </c>
      <c r="F18" s="26"/>
      <c r="G18" s="26"/>
      <c r="H18" s="28"/>
      <c r="I18" s="105"/>
      <c r="J18" s="104" t="str">
        <f>IFERROR(VLOOKUP(F18,Catalog!B:C,2,0),"")</f>
        <v/>
      </c>
      <c r="K18" s="122" t="str">
        <f t="shared" si="4"/>
        <v/>
      </c>
      <c r="L18" s="108"/>
      <c r="M18" s="100"/>
      <c r="N18" s="50"/>
      <c r="O18" s="59"/>
      <c r="P18" s="28"/>
      <c r="Q18" s="27"/>
      <c r="R18" s="51"/>
      <c r="S18" s="50"/>
      <c r="T18" s="50"/>
      <c r="U18" s="29"/>
      <c r="V18" s="29"/>
      <c r="W18" s="29"/>
    </row>
    <row r="19" spans="1:23" ht="12.75">
      <c r="A19" s="125" t="str">
        <f t="shared" si="2"/>
        <v/>
      </c>
      <c r="B19" s="91">
        <f t="shared" si="0"/>
        <v>42195</v>
      </c>
      <c r="C19" s="90" t="str">
        <f t="shared" si="1"/>
        <v>Admin</v>
      </c>
      <c r="D19" s="91">
        <f t="shared" ca="1" si="3"/>
        <v>42198</v>
      </c>
      <c r="E19" s="115">
        <v>11</v>
      </c>
      <c r="F19" s="26"/>
      <c r="G19" s="26"/>
      <c r="H19" s="28"/>
      <c r="I19" s="105"/>
      <c r="J19" s="104" t="str">
        <f>IFERROR(VLOOKUP(F19,Catalog!B:C,2,0),"")</f>
        <v/>
      </c>
      <c r="K19" s="122" t="str">
        <f t="shared" si="4"/>
        <v/>
      </c>
      <c r="L19" s="108"/>
      <c r="M19" s="100"/>
      <c r="N19" s="50"/>
      <c r="O19" s="59"/>
      <c r="P19" s="28"/>
      <c r="Q19" s="27"/>
      <c r="R19" s="51"/>
      <c r="S19" s="50"/>
      <c r="T19" s="50"/>
      <c r="U19" s="29"/>
      <c r="V19" s="29"/>
      <c r="W19" s="29"/>
    </row>
    <row r="20" spans="1:23" ht="12.75">
      <c r="A20" s="125" t="str">
        <f t="shared" si="2"/>
        <v/>
      </c>
      <c r="B20" s="91">
        <f t="shared" si="0"/>
        <v>42195</v>
      </c>
      <c r="C20" s="90" t="str">
        <f t="shared" si="1"/>
        <v>Admin</v>
      </c>
      <c r="D20" s="91">
        <f t="shared" ca="1" si="3"/>
        <v>42198</v>
      </c>
      <c r="E20" s="115">
        <v>12</v>
      </c>
      <c r="F20" s="26"/>
      <c r="G20" s="26"/>
      <c r="H20" s="28"/>
      <c r="I20" s="105"/>
      <c r="J20" s="104" t="str">
        <f>IFERROR(VLOOKUP(F20,Catalog!B:C,2,0),"")</f>
        <v/>
      </c>
      <c r="K20" s="122" t="str">
        <f t="shared" si="4"/>
        <v/>
      </c>
      <c r="L20" s="108"/>
      <c r="M20" s="100"/>
      <c r="N20" s="50"/>
      <c r="O20" s="59"/>
      <c r="P20" s="28"/>
      <c r="Q20" s="27"/>
      <c r="R20" s="51"/>
      <c r="S20" s="50"/>
      <c r="T20" s="50"/>
      <c r="U20" s="29"/>
      <c r="V20" s="29"/>
      <c r="W20" s="29"/>
    </row>
    <row r="21" spans="1:23" ht="12.75">
      <c r="A21" s="125" t="str">
        <f t="shared" si="2"/>
        <v/>
      </c>
      <c r="B21" s="91">
        <f t="shared" si="0"/>
        <v>42195</v>
      </c>
      <c r="C21" s="90" t="str">
        <f t="shared" si="1"/>
        <v>Admin</v>
      </c>
      <c r="D21" s="91">
        <f t="shared" ca="1" si="3"/>
        <v>42198</v>
      </c>
      <c r="E21" s="115">
        <v>13</v>
      </c>
      <c r="F21" s="26"/>
      <c r="G21" s="26"/>
      <c r="H21" s="28"/>
      <c r="I21" s="105"/>
      <c r="J21" s="104" t="str">
        <f>IFERROR(VLOOKUP(F21,Catalog!B:C,2,0),"")</f>
        <v/>
      </c>
      <c r="K21" s="122" t="str">
        <f t="shared" si="4"/>
        <v/>
      </c>
      <c r="L21" s="108"/>
      <c r="M21" s="100"/>
      <c r="N21" s="50"/>
      <c r="O21" s="59"/>
      <c r="P21" s="28"/>
      <c r="Q21" s="27"/>
      <c r="R21" s="51"/>
      <c r="S21" s="50"/>
      <c r="T21" s="50"/>
      <c r="U21" s="29"/>
      <c r="V21" s="30"/>
      <c r="W21" s="30"/>
    </row>
    <row r="22" spans="1:23" ht="12.75">
      <c r="A22" s="125" t="str">
        <f t="shared" si="2"/>
        <v/>
      </c>
      <c r="B22" s="91">
        <f t="shared" si="0"/>
        <v>42195</v>
      </c>
      <c r="C22" s="90" t="str">
        <f t="shared" si="1"/>
        <v>Admin</v>
      </c>
      <c r="D22" s="91">
        <f t="shared" ca="1" si="3"/>
        <v>42198</v>
      </c>
      <c r="E22" s="115">
        <v>14</v>
      </c>
      <c r="F22" s="26"/>
      <c r="G22" s="26"/>
      <c r="H22" s="28"/>
      <c r="I22" s="105"/>
      <c r="J22" s="104" t="str">
        <f>IFERROR(VLOOKUP(F22,Catalog!B:C,2,0),"")</f>
        <v/>
      </c>
      <c r="K22" s="122" t="str">
        <f t="shared" si="4"/>
        <v/>
      </c>
      <c r="L22" s="108"/>
      <c r="M22" s="100"/>
      <c r="N22" s="50"/>
      <c r="O22" s="59"/>
      <c r="P22" s="28"/>
      <c r="Q22" s="27"/>
      <c r="R22" s="51"/>
      <c r="S22" s="50"/>
      <c r="T22" s="50"/>
      <c r="U22" s="29"/>
      <c r="V22" s="30"/>
      <c r="W22" s="30"/>
    </row>
    <row r="23" spans="1:23" ht="12.75">
      <c r="A23" s="125" t="str">
        <f t="shared" si="2"/>
        <v/>
      </c>
      <c r="B23" s="91">
        <f t="shared" si="0"/>
        <v>42195</v>
      </c>
      <c r="C23" s="90" t="str">
        <f t="shared" si="1"/>
        <v>Admin</v>
      </c>
      <c r="D23" s="91">
        <f t="shared" ca="1" si="3"/>
        <v>42198</v>
      </c>
      <c r="E23" s="115">
        <v>15</v>
      </c>
      <c r="F23" s="26"/>
      <c r="G23" s="26"/>
      <c r="H23" s="28"/>
      <c r="I23" s="105"/>
      <c r="J23" s="104" t="str">
        <f>IFERROR(VLOOKUP(F23,Catalog!B:C,2,0),"")</f>
        <v/>
      </c>
      <c r="K23" s="122" t="str">
        <f t="shared" si="4"/>
        <v/>
      </c>
      <c r="L23" s="108"/>
      <c r="M23" s="100"/>
      <c r="N23" s="50"/>
      <c r="O23" s="59"/>
      <c r="P23" s="28"/>
      <c r="Q23" s="27"/>
      <c r="R23" s="51"/>
      <c r="S23" s="50"/>
      <c r="T23" s="50"/>
      <c r="U23" s="29"/>
      <c r="V23" s="30"/>
      <c r="W23" s="30"/>
    </row>
    <row r="24" spans="1:23">
      <c r="A24" s="125" t="str">
        <f t="shared" si="2"/>
        <v/>
      </c>
      <c r="B24" s="91">
        <f t="shared" si="0"/>
        <v>42195</v>
      </c>
      <c r="C24" s="90" t="str">
        <f t="shared" si="1"/>
        <v>Admin</v>
      </c>
      <c r="D24" s="91">
        <f t="shared" ca="1" si="3"/>
        <v>42198</v>
      </c>
      <c r="E24" s="116">
        <v>16</v>
      </c>
      <c r="F24" s="26"/>
      <c r="G24" s="26"/>
      <c r="H24" s="28"/>
      <c r="I24" s="105"/>
      <c r="J24" s="104" t="str">
        <f>IFERROR(VLOOKUP(F24,Catalog!B:C,2,0),"")</f>
        <v/>
      </c>
      <c r="K24" s="122" t="str">
        <f t="shared" si="4"/>
        <v/>
      </c>
      <c r="L24" s="108"/>
      <c r="M24" s="100"/>
      <c r="N24" s="50"/>
      <c r="O24" s="59"/>
      <c r="P24" s="28"/>
      <c r="Q24" s="27"/>
      <c r="R24" s="51"/>
      <c r="S24" s="50"/>
      <c r="T24" s="50"/>
      <c r="U24" s="29"/>
      <c r="V24" s="30"/>
      <c r="W24" s="30"/>
    </row>
    <row r="25" spans="1:23" ht="12.75">
      <c r="A25" s="125" t="str">
        <f t="shared" si="2"/>
        <v/>
      </c>
      <c r="B25" s="91">
        <f t="shared" si="0"/>
        <v>42195</v>
      </c>
      <c r="C25" s="90" t="str">
        <f t="shared" si="1"/>
        <v>Admin</v>
      </c>
      <c r="D25" s="91">
        <f t="shared" ca="1" si="3"/>
        <v>42198</v>
      </c>
      <c r="E25" s="115">
        <v>17</v>
      </c>
      <c r="F25" s="26"/>
      <c r="G25" s="26"/>
      <c r="H25" s="28"/>
      <c r="I25" s="105"/>
      <c r="J25" s="104" t="str">
        <f>IFERROR(VLOOKUP(F25,Catalog!B:C,2,0),"")</f>
        <v/>
      </c>
      <c r="K25" s="122" t="str">
        <f t="shared" si="4"/>
        <v/>
      </c>
      <c r="L25" s="108"/>
      <c r="M25" s="100"/>
      <c r="N25" s="50"/>
      <c r="O25" s="59"/>
      <c r="P25" s="28"/>
      <c r="Q25" s="27"/>
      <c r="R25" s="51"/>
      <c r="S25" s="50"/>
      <c r="T25" s="50"/>
      <c r="U25" s="29"/>
      <c r="V25" s="30"/>
      <c r="W25" s="30"/>
    </row>
    <row r="26" spans="1:23" ht="12.75">
      <c r="A26" s="125" t="str">
        <f t="shared" si="2"/>
        <v/>
      </c>
      <c r="B26" s="91">
        <f t="shared" si="0"/>
        <v>42195</v>
      </c>
      <c r="C26" s="90" t="str">
        <f t="shared" si="1"/>
        <v>Admin</v>
      </c>
      <c r="D26" s="91">
        <f t="shared" ca="1" si="3"/>
        <v>42198</v>
      </c>
      <c r="E26" s="115">
        <v>18</v>
      </c>
      <c r="F26" s="26"/>
      <c r="G26" s="26"/>
      <c r="H26" s="28"/>
      <c r="I26" s="105"/>
      <c r="J26" s="104" t="str">
        <f>IFERROR(VLOOKUP(F26,Catalog!B:C,2,0),"")</f>
        <v/>
      </c>
      <c r="K26" s="122" t="str">
        <f t="shared" si="4"/>
        <v/>
      </c>
      <c r="L26" s="108"/>
      <c r="M26" s="100"/>
      <c r="N26" s="50"/>
      <c r="O26" s="59"/>
      <c r="P26" s="28"/>
      <c r="Q26" s="27"/>
      <c r="R26" s="51"/>
      <c r="S26" s="50"/>
      <c r="T26" s="50"/>
      <c r="U26" s="29"/>
      <c r="V26" s="30"/>
      <c r="W26" s="30"/>
    </row>
    <row r="27" spans="1:23" ht="12.75">
      <c r="A27" s="125" t="str">
        <f t="shared" si="2"/>
        <v/>
      </c>
      <c r="B27" s="91">
        <f t="shared" si="0"/>
        <v>42195</v>
      </c>
      <c r="C27" s="90" t="str">
        <f t="shared" si="1"/>
        <v>Admin</v>
      </c>
      <c r="D27" s="91">
        <f t="shared" ca="1" si="3"/>
        <v>42198</v>
      </c>
      <c r="E27" s="115">
        <v>19</v>
      </c>
      <c r="F27" s="26"/>
      <c r="G27" s="26"/>
      <c r="H27" s="28"/>
      <c r="I27" s="105"/>
      <c r="J27" s="104" t="str">
        <f>IFERROR(VLOOKUP(F27,Catalog!B:C,2,0),"")</f>
        <v/>
      </c>
      <c r="K27" s="122" t="str">
        <f t="shared" si="4"/>
        <v/>
      </c>
      <c r="L27" s="108"/>
      <c r="M27" s="100"/>
      <c r="N27" s="50"/>
      <c r="O27" s="59"/>
      <c r="P27" s="28"/>
      <c r="Q27" s="27"/>
      <c r="R27" s="51"/>
      <c r="S27" s="50"/>
      <c r="T27" s="50"/>
      <c r="U27" s="29"/>
      <c r="V27" s="30"/>
      <c r="W27" s="30"/>
    </row>
    <row r="28" spans="1:23" ht="12.75">
      <c r="A28" s="125" t="str">
        <f t="shared" si="2"/>
        <v/>
      </c>
      <c r="B28" s="91">
        <f t="shared" si="0"/>
        <v>42195</v>
      </c>
      <c r="C28" s="90" t="str">
        <f t="shared" si="1"/>
        <v>Admin</v>
      </c>
      <c r="D28" s="91">
        <f t="shared" ca="1" si="3"/>
        <v>42198</v>
      </c>
      <c r="E28" s="115">
        <v>20</v>
      </c>
      <c r="F28" s="26"/>
      <c r="G28" s="26"/>
      <c r="H28" s="28"/>
      <c r="I28" s="105"/>
      <c r="J28" s="104" t="str">
        <f>IFERROR(VLOOKUP(F28,Catalog!B:C,2,0),"")</f>
        <v/>
      </c>
      <c r="K28" s="122" t="str">
        <f t="shared" si="4"/>
        <v/>
      </c>
      <c r="L28" s="108"/>
      <c r="M28" s="100"/>
      <c r="N28" s="50"/>
      <c r="O28" s="59"/>
      <c r="P28" s="28"/>
      <c r="Q28" s="27"/>
      <c r="R28" s="51"/>
      <c r="S28" s="50"/>
      <c r="T28" s="50"/>
      <c r="U28" s="29"/>
      <c r="V28" s="30"/>
      <c r="W28" s="30"/>
    </row>
    <row r="29" spans="1:23" ht="12.75">
      <c r="A29" s="125" t="str">
        <f t="shared" si="2"/>
        <v/>
      </c>
      <c r="B29" s="91">
        <f t="shared" si="0"/>
        <v>42195</v>
      </c>
      <c r="C29" s="90" t="str">
        <f t="shared" si="1"/>
        <v>Admin</v>
      </c>
      <c r="D29" s="91">
        <f t="shared" ca="1" si="3"/>
        <v>42198</v>
      </c>
      <c r="E29" s="115">
        <v>21</v>
      </c>
      <c r="F29" s="26"/>
      <c r="G29" s="26"/>
      <c r="H29" s="28"/>
      <c r="I29" s="105"/>
      <c r="J29" s="104" t="str">
        <f>IFERROR(VLOOKUP(F29,Catalog!B:C,2,0),"")</f>
        <v/>
      </c>
      <c r="K29" s="122" t="str">
        <f t="shared" si="4"/>
        <v/>
      </c>
      <c r="L29" s="108"/>
      <c r="M29" s="100"/>
      <c r="N29" s="50"/>
      <c r="O29" s="59"/>
      <c r="P29" s="28"/>
      <c r="Q29" s="27"/>
      <c r="R29" s="51"/>
      <c r="S29" s="50"/>
      <c r="T29" s="50"/>
      <c r="U29" s="29"/>
      <c r="V29" s="30"/>
      <c r="W29" s="30"/>
    </row>
    <row r="30" spans="1:23">
      <c r="A30" s="125" t="str">
        <f t="shared" si="2"/>
        <v/>
      </c>
      <c r="B30" s="91">
        <f t="shared" si="0"/>
        <v>42195</v>
      </c>
      <c r="C30" s="90" t="str">
        <f t="shared" si="1"/>
        <v>Admin</v>
      </c>
      <c r="D30" s="91">
        <f t="shared" ca="1" si="3"/>
        <v>42198</v>
      </c>
      <c r="E30" s="116">
        <v>22</v>
      </c>
      <c r="F30" s="26"/>
      <c r="G30" s="26"/>
      <c r="H30" s="28"/>
      <c r="I30" s="105"/>
      <c r="J30" s="104" t="str">
        <f>IFERROR(VLOOKUP(F30,Catalog!B:C,2,0),"")</f>
        <v/>
      </c>
      <c r="K30" s="122" t="str">
        <f t="shared" si="4"/>
        <v/>
      </c>
      <c r="L30" s="108"/>
      <c r="M30" s="100"/>
      <c r="N30" s="50"/>
      <c r="O30" s="59"/>
      <c r="P30" s="28"/>
      <c r="Q30" s="27"/>
      <c r="R30" s="51"/>
      <c r="S30" s="50"/>
      <c r="T30" s="50"/>
      <c r="U30" s="29"/>
      <c r="V30" s="30"/>
      <c r="W30" s="30"/>
    </row>
    <row r="31" spans="1:23" ht="12.75">
      <c r="A31" s="125" t="str">
        <f t="shared" si="2"/>
        <v/>
      </c>
      <c r="B31" s="91">
        <f t="shared" si="0"/>
        <v>42195</v>
      </c>
      <c r="C31" s="90" t="str">
        <f t="shared" si="1"/>
        <v>Admin</v>
      </c>
      <c r="D31" s="91">
        <f t="shared" ca="1" si="3"/>
        <v>42198</v>
      </c>
      <c r="E31" s="115">
        <v>23</v>
      </c>
      <c r="F31" s="26"/>
      <c r="G31" s="26"/>
      <c r="H31" s="28"/>
      <c r="I31" s="105"/>
      <c r="J31" s="104" t="str">
        <f>IFERROR(VLOOKUP(F31,Catalog!B:C,2,0),"")</f>
        <v/>
      </c>
      <c r="K31" s="122" t="str">
        <f t="shared" si="4"/>
        <v/>
      </c>
      <c r="L31" s="108"/>
      <c r="M31" s="100"/>
      <c r="N31" s="50"/>
      <c r="O31" s="59"/>
      <c r="P31" s="28"/>
      <c r="Q31" s="27"/>
      <c r="R31" s="51"/>
      <c r="S31" s="50"/>
      <c r="T31" s="50"/>
      <c r="U31" s="29"/>
      <c r="V31" s="30"/>
      <c r="W31" s="30"/>
    </row>
    <row r="32" spans="1:23" ht="12.75">
      <c r="A32" s="125" t="str">
        <f t="shared" si="2"/>
        <v/>
      </c>
      <c r="B32" s="91">
        <f t="shared" si="0"/>
        <v>42195</v>
      </c>
      <c r="C32" s="90" t="str">
        <f t="shared" si="1"/>
        <v>Admin</v>
      </c>
      <c r="D32" s="91">
        <f t="shared" ca="1" si="3"/>
        <v>42198</v>
      </c>
      <c r="E32" s="115">
        <v>24</v>
      </c>
      <c r="F32" s="26"/>
      <c r="G32" s="26"/>
      <c r="H32" s="28"/>
      <c r="I32" s="105"/>
      <c r="J32" s="104" t="str">
        <f>IFERROR(VLOOKUP(F32,Catalog!B:C,2,0),"")</f>
        <v/>
      </c>
      <c r="K32" s="122" t="str">
        <f t="shared" si="4"/>
        <v/>
      </c>
      <c r="L32" s="108"/>
      <c r="M32" s="100"/>
      <c r="N32" s="50"/>
      <c r="O32" s="59"/>
      <c r="P32" s="28"/>
      <c r="Q32" s="27"/>
      <c r="R32" s="51"/>
      <c r="S32" s="50"/>
      <c r="T32" s="50"/>
      <c r="U32" s="29"/>
      <c r="V32" s="30"/>
      <c r="W32" s="30"/>
    </row>
    <row r="33" spans="1:23" ht="13.5" thickBot="1">
      <c r="A33" s="125" t="str">
        <f t="shared" si="2"/>
        <v/>
      </c>
      <c r="B33" s="91">
        <f t="shared" si="0"/>
        <v>42195</v>
      </c>
      <c r="C33" s="90" t="str">
        <f t="shared" si="1"/>
        <v>Admin</v>
      </c>
      <c r="D33" s="91">
        <f t="shared" ca="1" si="3"/>
        <v>42198</v>
      </c>
      <c r="E33" s="117">
        <v>25</v>
      </c>
      <c r="F33" s="118"/>
      <c r="G33" s="118"/>
      <c r="H33" s="119"/>
      <c r="I33" s="120"/>
      <c r="J33" s="121" t="str">
        <f>IFERROR(VLOOKUP(F33,Catalog!B:C,2,0),"")</f>
        <v/>
      </c>
      <c r="K33" s="123" t="str">
        <f t="shared" si="4"/>
        <v/>
      </c>
      <c r="L33" s="109"/>
      <c r="M33" s="101"/>
      <c r="N33" s="60"/>
      <c r="O33" s="62"/>
      <c r="P33" s="64"/>
      <c r="Q33" s="63"/>
      <c r="R33" s="61"/>
      <c r="S33" s="60"/>
      <c r="T33" s="60"/>
      <c r="U33" s="65"/>
      <c r="V33" s="85"/>
      <c r="W33" s="85"/>
    </row>
    <row r="34" spans="1:23" ht="24.75" customHeight="1" thickBot="1">
      <c r="E34" s="142" t="s">
        <v>139</v>
      </c>
      <c r="F34" s="143"/>
      <c r="G34" s="143"/>
      <c r="H34" s="143"/>
      <c r="I34" s="143"/>
      <c r="J34" s="144"/>
      <c r="K34" s="124">
        <f>SUM(K9:K33)</f>
        <v>13920</v>
      </c>
      <c r="L34" s="102"/>
      <c r="M34" s="86"/>
      <c r="N34" s="133"/>
      <c r="O34" s="133"/>
      <c r="P34" s="97"/>
      <c r="Q34" s="66"/>
      <c r="R34" s="67"/>
      <c r="S34" s="103"/>
      <c r="T34" s="103"/>
      <c r="U34" s="87"/>
      <c r="V34" s="87"/>
      <c r="W34" s="88"/>
    </row>
    <row r="35" spans="1:23" ht="18.75" customHeight="1" thickBot="1">
      <c r="E35" s="134"/>
      <c r="F35" s="177"/>
      <c r="G35" s="134"/>
      <c r="H35" s="135"/>
      <c r="I35" s="177"/>
      <c r="J35" s="134"/>
      <c r="K35" s="135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7"/>
    </row>
    <row r="36" spans="1:23">
      <c r="E36" s="178"/>
      <c r="F36" s="180"/>
      <c r="G36" s="178"/>
      <c r="H36" s="179"/>
      <c r="I36" s="180"/>
      <c r="J36" s="77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9"/>
    </row>
    <row r="37" spans="1:23">
      <c r="E37" s="174"/>
      <c r="F37" s="175"/>
      <c r="G37" s="174"/>
      <c r="H37" s="176"/>
      <c r="I37" s="175"/>
      <c r="J37" s="80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81"/>
    </row>
    <row r="38" spans="1:23">
      <c r="E38" s="174"/>
      <c r="F38" s="175"/>
      <c r="G38" s="174"/>
      <c r="H38" s="176"/>
      <c r="I38" s="175"/>
      <c r="J38" s="80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81"/>
    </row>
    <row r="39" spans="1:23" ht="12.75" thickBot="1">
      <c r="E39" s="171"/>
      <c r="F39" s="173"/>
      <c r="G39" s="171"/>
      <c r="H39" s="172"/>
      <c r="I39" s="173"/>
      <c r="J39" s="82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4"/>
    </row>
    <row r="41" spans="1:23" ht="11.25" customHeight="1">
      <c r="A41" s="70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</row>
    <row r="56" spans="5:22"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1"/>
      <c r="S56" s="2"/>
      <c r="T56" s="2"/>
      <c r="U56" s="20"/>
      <c r="V56" s="20"/>
    </row>
    <row r="57" spans="5:22"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1"/>
      <c r="S57" s="2"/>
      <c r="T57" s="2"/>
      <c r="U57" s="20"/>
      <c r="V57" s="20"/>
    </row>
    <row r="58" spans="5:22">
      <c r="E58" s="22"/>
      <c r="F58" s="23"/>
      <c r="G58" s="20"/>
      <c r="H58" s="20"/>
      <c r="I58" s="24"/>
      <c r="J58" s="25"/>
      <c r="K58" s="24"/>
      <c r="L58" s="24"/>
      <c r="M58" s="25"/>
      <c r="N58" s="25"/>
      <c r="O58" s="25"/>
      <c r="P58" s="25"/>
      <c r="Q58" s="25"/>
      <c r="R58" s="21"/>
      <c r="S58" s="2"/>
      <c r="T58" s="2"/>
      <c r="U58" s="32"/>
      <c r="V58" s="33"/>
    </row>
    <row r="59" spans="5:22">
      <c r="E59" s="14"/>
      <c r="F59" s="15"/>
      <c r="G59" s="16"/>
      <c r="H59" s="16"/>
      <c r="I59" s="17"/>
      <c r="J59" s="18"/>
      <c r="K59" s="17"/>
      <c r="L59" s="17"/>
      <c r="M59" s="18"/>
      <c r="N59" s="18"/>
      <c r="O59" s="18"/>
      <c r="P59" s="18"/>
      <c r="Q59" s="18"/>
      <c r="R59" s="2"/>
      <c r="S59" s="2"/>
      <c r="T59" s="2"/>
      <c r="U59" s="32"/>
      <c r="V59" s="33"/>
    </row>
    <row r="60" spans="5:22">
      <c r="E60" s="14"/>
      <c r="F60" s="15"/>
      <c r="G60" s="16"/>
      <c r="H60" s="16"/>
      <c r="I60" s="17"/>
      <c r="J60" s="18"/>
      <c r="K60" s="17"/>
      <c r="L60" s="17"/>
      <c r="M60" s="18"/>
      <c r="N60" s="18"/>
      <c r="O60" s="18"/>
      <c r="P60" s="18"/>
      <c r="Q60" s="18"/>
      <c r="R60" s="2"/>
      <c r="S60" s="2"/>
      <c r="T60" s="2"/>
      <c r="U60" s="32"/>
      <c r="V60" s="33"/>
    </row>
    <row r="61" spans="5:22">
      <c r="E61" s="14"/>
      <c r="F61" s="15"/>
      <c r="G61" s="16"/>
      <c r="H61" s="16"/>
      <c r="I61" s="17"/>
      <c r="J61" s="18"/>
      <c r="K61" s="17"/>
      <c r="L61" s="17"/>
      <c r="M61" s="18"/>
      <c r="N61" s="18"/>
      <c r="O61" s="18"/>
      <c r="P61" s="18"/>
      <c r="Q61" s="18"/>
      <c r="R61" s="2"/>
      <c r="S61" s="2"/>
      <c r="T61" s="2"/>
      <c r="U61" s="34"/>
      <c r="V61" s="35"/>
    </row>
    <row r="62" spans="5:22">
      <c r="E62" s="14"/>
      <c r="F62" s="15"/>
      <c r="G62" s="16"/>
      <c r="H62" s="16"/>
      <c r="I62" s="17"/>
      <c r="J62" s="18"/>
      <c r="K62" s="17"/>
      <c r="L62" s="17"/>
      <c r="M62" s="18"/>
      <c r="N62" s="18"/>
      <c r="O62" s="18"/>
      <c r="P62" s="18"/>
      <c r="Q62" s="18"/>
      <c r="R62" s="2"/>
      <c r="S62" s="2"/>
      <c r="T62" s="2"/>
      <c r="U62" s="34"/>
      <c r="V62" s="35"/>
    </row>
    <row r="63" spans="5:22">
      <c r="E63" s="14"/>
      <c r="F63" s="15"/>
      <c r="G63" s="16"/>
      <c r="H63" s="16"/>
      <c r="I63" s="17"/>
      <c r="J63" s="18"/>
      <c r="K63" s="17"/>
      <c r="L63" s="17"/>
      <c r="M63" s="18"/>
      <c r="N63" s="18"/>
      <c r="O63" s="18"/>
      <c r="P63" s="18"/>
      <c r="Q63" s="18"/>
      <c r="R63" s="2"/>
      <c r="S63" s="2"/>
      <c r="T63" s="2"/>
      <c r="U63" s="34"/>
      <c r="V63" s="35"/>
    </row>
    <row r="64" spans="5:22">
      <c r="E64" s="14"/>
      <c r="F64" s="15"/>
      <c r="G64" s="16"/>
      <c r="H64" s="16"/>
      <c r="I64" s="17"/>
      <c r="J64" s="18"/>
      <c r="K64" s="17"/>
      <c r="L64" s="17"/>
      <c r="M64" s="18"/>
      <c r="N64" s="18"/>
      <c r="O64" s="18"/>
      <c r="P64" s="18"/>
      <c r="Q64" s="18"/>
      <c r="R64" s="2"/>
      <c r="S64" s="2"/>
      <c r="T64" s="2"/>
      <c r="U64" s="34"/>
      <c r="V64" s="35"/>
    </row>
    <row r="65" spans="5:22">
      <c r="E65" s="14"/>
      <c r="F65" s="15"/>
      <c r="G65" s="16"/>
      <c r="H65" s="16"/>
      <c r="I65" s="17"/>
      <c r="J65" s="18"/>
      <c r="K65" s="17"/>
      <c r="L65" s="17"/>
      <c r="M65" s="18"/>
      <c r="N65" s="18"/>
      <c r="O65" s="18"/>
      <c r="P65" s="18"/>
      <c r="Q65" s="18"/>
      <c r="R65" s="2"/>
      <c r="S65" s="2"/>
      <c r="T65" s="2"/>
      <c r="U65" s="34"/>
      <c r="V65" s="35"/>
    </row>
    <row r="66" spans="5:22">
      <c r="E66" s="14"/>
      <c r="F66" s="15"/>
      <c r="G66" s="16"/>
      <c r="H66" s="16"/>
      <c r="I66" s="17"/>
      <c r="J66" s="18"/>
      <c r="K66" s="17"/>
      <c r="L66" s="17"/>
      <c r="M66" s="18"/>
      <c r="N66" s="18"/>
      <c r="O66" s="18"/>
      <c r="P66" s="18"/>
      <c r="Q66" s="18"/>
      <c r="R66" s="2"/>
      <c r="S66" s="2"/>
      <c r="T66" s="2"/>
      <c r="U66" s="34"/>
      <c r="V66" s="35"/>
    </row>
    <row r="67" spans="5:22">
      <c r="E67" s="14"/>
      <c r="F67" s="15"/>
      <c r="G67" s="16"/>
      <c r="H67" s="16"/>
      <c r="I67" s="17"/>
      <c r="J67" s="18"/>
      <c r="K67" s="17"/>
      <c r="L67" s="17"/>
      <c r="M67" s="18"/>
      <c r="N67" s="18"/>
      <c r="O67" s="18"/>
      <c r="P67" s="18"/>
      <c r="Q67" s="18"/>
      <c r="R67" s="2"/>
      <c r="S67" s="2"/>
      <c r="T67" s="2"/>
      <c r="U67" s="34"/>
      <c r="V67" s="35"/>
    </row>
    <row r="68" spans="5:22">
      <c r="E68" s="14"/>
      <c r="F68" s="15"/>
      <c r="G68" s="16"/>
      <c r="H68" s="16"/>
      <c r="I68" s="17"/>
      <c r="J68" s="18"/>
      <c r="K68" s="17"/>
      <c r="L68" s="17"/>
      <c r="M68" s="18"/>
      <c r="N68" s="18"/>
      <c r="O68" s="18"/>
      <c r="P68" s="18"/>
      <c r="Q68" s="18"/>
      <c r="R68" s="2"/>
      <c r="S68" s="2"/>
      <c r="T68" s="2"/>
      <c r="U68" s="34"/>
      <c r="V68" s="35"/>
    </row>
    <row r="69" spans="5:22">
      <c r="E69" s="14"/>
      <c r="F69" s="15"/>
      <c r="G69" s="16"/>
      <c r="H69" s="16"/>
      <c r="I69" s="17"/>
      <c r="J69" s="18"/>
      <c r="K69" s="17"/>
      <c r="L69" s="17"/>
      <c r="M69" s="18"/>
      <c r="N69" s="18"/>
      <c r="O69" s="18"/>
      <c r="P69" s="18"/>
      <c r="Q69" s="18"/>
      <c r="R69" s="2"/>
      <c r="S69" s="2"/>
      <c r="T69" s="2"/>
      <c r="U69" s="34"/>
      <c r="V69" s="35"/>
    </row>
    <row r="70" spans="5:22">
      <c r="E70" s="14"/>
      <c r="F70" s="15"/>
      <c r="G70" s="16"/>
      <c r="H70" s="16"/>
      <c r="I70" s="17"/>
      <c r="J70" s="18"/>
      <c r="K70" s="17"/>
      <c r="L70" s="17"/>
      <c r="M70" s="18"/>
      <c r="N70" s="18"/>
      <c r="O70" s="18"/>
      <c r="P70" s="18"/>
      <c r="Q70" s="18"/>
      <c r="R70" s="2"/>
      <c r="S70" s="2"/>
      <c r="T70" s="2"/>
      <c r="U70" s="34"/>
      <c r="V70" s="35"/>
    </row>
    <row r="71" spans="5:22">
      <c r="E71" s="14"/>
      <c r="F71" s="15"/>
      <c r="G71" s="16"/>
      <c r="H71" s="16"/>
      <c r="I71" s="17"/>
      <c r="J71" s="18"/>
      <c r="K71" s="17"/>
      <c r="L71" s="17"/>
      <c r="M71" s="18"/>
      <c r="N71" s="18"/>
      <c r="O71" s="18"/>
      <c r="P71" s="18"/>
      <c r="Q71" s="18"/>
      <c r="R71" s="2"/>
      <c r="S71" s="2"/>
      <c r="T71" s="2"/>
      <c r="U71" s="34"/>
      <c r="V71" s="35"/>
    </row>
    <row r="72" spans="5:22">
      <c r="E72" s="14"/>
      <c r="F72" s="15"/>
      <c r="G72" s="16"/>
      <c r="H72" s="16"/>
      <c r="I72" s="17"/>
      <c r="J72" s="18"/>
      <c r="K72" s="17"/>
      <c r="L72" s="17"/>
      <c r="M72" s="18"/>
      <c r="N72" s="18"/>
      <c r="O72" s="18"/>
      <c r="P72" s="18"/>
      <c r="Q72" s="18"/>
      <c r="R72" s="2"/>
      <c r="S72" s="2"/>
      <c r="T72" s="2"/>
      <c r="U72" s="34"/>
      <c r="V72" s="35"/>
    </row>
    <row r="73" spans="5:22">
      <c r="E73" s="14"/>
      <c r="F73" s="15"/>
      <c r="G73" s="16"/>
      <c r="H73" s="16"/>
      <c r="I73" s="17"/>
      <c r="J73" s="18"/>
      <c r="K73" s="17"/>
      <c r="L73" s="17"/>
      <c r="M73" s="18"/>
      <c r="N73" s="18"/>
      <c r="O73" s="18"/>
      <c r="P73" s="18"/>
      <c r="Q73" s="18"/>
      <c r="R73" s="2"/>
      <c r="S73" s="2"/>
      <c r="T73" s="2"/>
      <c r="U73" s="34"/>
      <c r="V73" s="35"/>
    </row>
    <row r="74" spans="5:22">
      <c r="E74" s="14"/>
      <c r="F74" s="15"/>
      <c r="G74" s="16"/>
      <c r="H74" s="16"/>
      <c r="I74" s="17"/>
      <c r="J74" s="18"/>
      <c r="K74" s="17"/>
      <c r="L74" s="17"/>
      <c r="M74" s="18"/>
      <c r="N74" s="18"/>
      <c r="O74" s="18"/>
      <c r="P74" s="18"/>
      <c r="Q74" s="18"/>
      <c r="R74" s="2"/>
      <c r="S74" s="2"/>
      <c r="T74" s="2"/>
      <c r="V74" s="3"/>
    </row>
    <row r="75" spans="5:22">
      <c r="E75" s="14"/>
      <c r="F75" s="15"/>
      <c r="G75" s="16"/>
      <c r="H75" s="16"/>
      <c r="I75" s="17"/>
      <c r="J75" s="18"/>
      <c r="K75" s="17"/>
      <c r="L75" s="17"/>
      <c r="M75" s="18"/>
      <c r="N75" s="18"/>
      <c r="O75" s="18"/>
      <c r="P75" s="18"/>
      <c r="Q75" s="18"/>
      <c r="R75" s="2"/>
      <c r="S75" s="2"/>
      <c r="T75" s="2"/>
      <c r="U75" s="3"/>
      <c r="V75" s="3"/>
    </row>
    <row r="76" spans="5:22">
      <c r="E76" s="14"/>
      <c r="F76" s="15"/>
      <c r="G76" s="16"/>
      <c r="H76" s="16"/>
      <c r="I76" s="17"/>
      <c r="J76" s="18"/>
      <c r="K76" s="17"/>
      <c r="L76" s="17"/>
      <c r="M76" s="18"/>
      <c r="N76" s="18"/>
      <c r="O76" s="18"/>
      <c r="P76" s="18"/>
      <c r="Q76" s="18"/>
      <c r="R76" s="2"/>
      <c r="S76" s="2"/>
      <c r="T76" s="2"/>
      <c r="U76" s="3"/>
      <c r="V76" s="3"/>
    </row>
    <row r="77" spans="5:22">
      <c r="E77" s="14"/>
      <c r="F77" s="15"/>
      <c r="G77" s="16"/>
      <c r="H77" s="16"/>
      <c r="I77" s="17"/>
      <c r="J77" s="18"/>
      <c r="K77" s="17"/>
      <c r="L77" s="17"/>
      <c r="M77" s="18"/>
      <c r="N77" s="18"/>
      <c r="O77" s="18"/>
      <c r="P77" s="18"/>
      <c r="Q77" s="18"/>
      <c r="R77" s="2"/>
      <c r="S77" s="2"/>
      <c r="T77" s="2"/>
      <c r="U77" s="3"/>
      <c r="V77" s="3"/>
    </row>
    <row r="78" spans="5:22">
      <c r="E78" s="14"/>
      <c r="F78" s="15"/>
      <c r="G78" s="16"/>
      <c r="H78" s="16"/>
      <c r="I78" s="17"/>
      <c r="J78" s="18"/>
      <c r="K78" s="17"/>
      <c r="L78" s="17"/>
      <c r="M78" s="18"/>
      <c r="N78" s="18"/>
      <c r="O78" s="18"/>
      <c r="P78" s="18"/>
      <c r="Q78" s="18"/>
      <c r="R78" s="2"/>
      <c r="S78" s="2"/>
      <c r="T78" s="2"/>
      <c r="U78" s="3"/>
      <c r="V78" s="3"/>
    </row>
    <row r="79" spans="5:22">
      <c r="E79" s="14"/>
      <c r="F79" s="15"/>
      <c r="G79" s="16"/>
      <c r="H79" s="16"/>
      <c r="I79" s="17"/>
      <c r="J79" s="18"/>
      <c r="K79" s="17"/>
      <c r="L79" s="17"/>
      <c r="M79" s="18"/>
      <c r="N79" s="18"/>
      <c r="O79" s="18"/>
      <c r="P79" s="18"/>
      <c r="Q79" s="18"/>
      <c r="R79" s="2"/>
      <c r="S79" s="2"/>
      <c r="T79" s="2"/>
      <c r="U79" s="3"/>
      <c r="V79" s="3"/>
    </row>
    <row r="80" spans="5:22"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</row>
    <row r="81" spans="5:17"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</row>
    <row r="82" spans="5:17"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</row>
    <row r="83" spans="5:17"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</row>
    <row r="84" spans="5:17"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</row>
    <row r="85" spans="5:17"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</row>
    <row r="86" spans="5:17"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</row>
    <row r="87" spans="5:17"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</row>
    <row r="88" spans="5:17"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</row>
    <row r="89" spans="5:17"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</row>
    <row r="90" spans="5:17"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</row>
    <row r="91" spans="5:17"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</row>
    <row r="92" spans="5:17"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</row>
    <row r="93" spans="5:17"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</row>
    <row r="94" spans="5:17"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</row>
    <row r="95" spans="5:17"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</row>
    <row r="96" spans="5:17"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</row>
    <row r="97" spans="5:17"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</row>
    <row r="98" spans="5:17"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</row>
    <row r="99" spans="5:17"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</row>
    <row r="100" spans="5:17"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</row>
    <row r="101" spans="5:17"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</row>
    <row r="102" spans="5:17"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</row>
    <row r="103" spans="5:17"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</row>
    <row r="104" spans="5:17"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</row>
    <row r="105" spans="5:17"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</row>
    <row r="106" spans="5:17"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</row>
    <row r="107" spans="5:17"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</row>
    <row r="108" spans="5:17"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</row>
    <row r="109" spans="5:17"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</row>
    <row r="110" spans="5:17"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</row>
    <row r="111" spans="5:17"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</row>
    <row r="112" spans="5:17"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</row>
    <row r="113" spans="5:17"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</row>
    <row r="114" spans="5:17"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</row>
    <row r="115" spans="5:17"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</row>
    <row r="116" spans="5:17"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</row>
    <row r="117" spans="5:17"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</row>
    <row r="118" spans="5:17"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</row>
    <row r="119" spans="5:17"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</row>
    <row r="120" spans="5:17"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</row>
    <row r="121" spans="5:17"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</row>
    <row r="122" spans="5:17"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</row>
    <row r="123" spans="5:17"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</row>
    <row r="124" spans="5:17"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</row>
    <row r="125" spans="5:17"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</row>
    <row r="126" spans="5:17"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</row>
    <row r="127" spans="5:17"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</row>
    <row r="128" spans="5:17"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</row>
    <row r="129" spans="5:17"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</row>
    <row r="130" spans="5:17"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</row>
    <row r="131" spans="5:17"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</row>
    <row r="132" spans="5:17"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</row>
    <row r="133" spans="5:17"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</row>
    <row r="134" spans="5:17"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</row>
    <row r="135" spans="5:17"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</row>
    <row r="136" spans="5:17"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</row>
    <row r="137" spans="5:17"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</row>
    <row r="138" spans="5:17"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</row>
    <row r="139" spans="5:17"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</row>
    <row r="140" spans="5:17"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</row>
    <row r="141" spans="5:17"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</row>
    <row r="142" spans="5:17"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</row>
    <row r="143" spans="5:17"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</row>
    <row r="144" spans="5:17"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</row>
    <row r="145" spans="5:17"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</row>
    <row r="146" spans="5:17"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</row>
    <row r="147" spans="5:17"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</row>
    <row r="148" spans="5:17"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</row>
    <row r="149" spans="5:17"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</row>
    <row r="150" spans="5:17"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</row>
    <row r="151" spans="5:17"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</row>
    <row r="152" spans="5:17"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</row>
    <row r="153" spans="5:17"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</row>
    <row r="154" spans="5:17"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</row>
    <row r="155" spans="5:17"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</row>
    <row r="156" spans="5:17"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</row>
    <row r="157" spans="5:17"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</row>
    <row r="158" spans="5:17"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</row>
    <row r="159" spans="5:17"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</row>
    <row r="160" spans="5:17"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</row>
    <row r="161" spans="5:17"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</row>
    <row r="162" spans="5:17"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</row>
    <row r="163" spans="5:17"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</row>
    <row r="164" spans="5:17"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</row>
    <row r="165" spans="5:17"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</row>
    <row r="166" spans="5:17"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</row>
    <row r="167" spans="5:17"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</row>
    <row r="168" spans="5:17"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</row>
    <row r="169" spans="5:17"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</row>
    <row r="170" spans="5:17"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</row>
    <row r="171" spans="5:17"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</row>
    <row r="172" spans="5:17"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</row>
    <row r="173" spans="5:17"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</row>
    <row r="174" spans="5:17"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</row>
    <row r="175" spans="5:17"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</row>
    <row r="176" spans="5:17"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</row>
    <row r="177" spans="5:17"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</row>
    <row r="178" spans="5:17"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</row>
    <row r="179" spans="5:17"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</row>
    <row r="180" spans="5:17"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</row>
    <row r="181" spans="5:17"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</row>
    <row r="182" spans="5:17"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</row>
    <row r="183" spans="5:17"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</row>
    <row r="184" spans="5:17"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</row>
    <row r="185" spans="5:17"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</row>
    <row r="186" spans="5:17"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</row>
    <row r="187" spans="5:17"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</row>
    <row r="188" spans="5:17"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</row>
    <row r="189" spans="5:17"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</row>
    <row r="190" spans="5:17"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</row>
    <row r="191" spans="5:17"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</row>
    <row r="192" spans="5:17"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</row>
    <row r="193" spans="5:17"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</row>
    <row r="194" spans="5:17"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</row>
    <row r="195" spans="5:17"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</row>
    <row r="196" spans="5:17"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</row>
    <row r="197" spans="5:17"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</row>
    <row r="198" spans="5:17"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</row>
    <row r="199" spans="5:17"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</row>
    <row r="200" spans="5:17"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</row>
    <row r="201" spans="5:17"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</row>
    <row r="202" spans="5:17"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</row>
    <row r="203" spans="5:17"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</row>
    <row r="204" spans="5:17"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</row>
    <row r="205" spans="5:17"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</row>
    <row r="206" spans="5:17"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</row>
    <row r="207" spans="5:17"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</row>
    <row r="208" spans="5:17"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</row>
    <row r="209" spans="5:17"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</row>
    <row r="210" spans="5:17"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</row>
    <row r="211" spans="5:17"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</row>
    <row r="212" spans="5:17"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</row>
    <row r="213" spans="5:17"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</row>
    <row r="214" spans="5:17"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</row>
    <row r="215" spans="5:17"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</row>
    <row r="216" spans="5:17"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</row>
    <row r="217" spans="5:17"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</row>
    <row r="218" spans="5:17"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</row>
    <row r="219" spans="5:17"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</row>
    <row r="220" spans="5:17"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</row>
    <row r="221" spans="5:17"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</row>
    <row r="222" spans="5:17"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</row>
    <row r="223" spans="5:17"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</row>
    <row r="224" spans="5:17"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</row>
    <row r="225" spans="5:17"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</row>
    <row r="226" spans="5:17"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</row>
    <row r="227" spans="5:17"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</row>
    <row r="228" spans="5:17"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</row>
    <row r="229" spans="5:17"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</row>
    <row r="230" spans="5:17"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</row>
    <row r="231" spans="5:17"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</row>
    <row r="232" spans="5:17"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</row>
    <row r="233" spans="5:17"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</row>
    <row r="234" spans="5:17"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</row>
    <row r="235" spans="5:17"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</row>
    <row r="236" spans="5:17"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</row>
    <row r="237" spans="5:17"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</row>
    <row r="238" spans="5:17"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</row>
    <row r="239" spans="5:17"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</row>
    <row r="240" spans="5:17"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</row>
    <row r="241" spans="5:17"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</row>
    <row r="242" spans="5:17"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</row>
    <row r="243" spans="5:17"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</row>
    <row r="244" spans="5:17"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</row>
    <row r="245" spans="5:17"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</row>
    <row r="246" spans="5:17"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</row>
    <row r="247" spans="5:17"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</row>
    <row r="248" spans="5:17"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</row>
    <row r="249" spans="5:17"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</row>
    <row r="250" spans="5:17"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</row>
    <row r="251" spans="5:17"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</row>
    <row r="252" spans="5:17"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</row>
    <row r="253" spans="5:17"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</row>
    <row r="254" spans="5:17"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</row>
    <row r="255" spans="5:17"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</row>
    <row r="256" spans="5:17"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</row>
    <row r="257" spans="5:17"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</row>
    <row r="258" spans="5:17"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</row>
    <row r="259" spans="5:17"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</row>
    <row r="260" spans="5:17"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</row>
    <row r="261" spans="5:17"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</row>
    <row r="262" spans="5:17"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</row>
    <row r="263" spans="5:17"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</row>
    <row r="264" spans="5:17"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</row>
    <row r="265" spans="5:17"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</row>
    <row r="266" spans="5:17"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</row>
    <row r="267" spans="5:17"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</row>
    <row r="268" spans="5:17"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</row>
    <row r="269" spans="5:17"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</row>
    <row r="270" spans="5:17"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</row>
    <row r="271" spans="5:17"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</row>
    <row r="272" spans="5:17"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</row>
    <row r="273" spans="5:17"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</row>
    <row r="274" spans="5:17"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</row>
    <row r="275" spans="5:17"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</row>
    <row r="276" spans="5:17"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</row>
    <row r="277" spans="5:17"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</row>
    <row r="278" spans="5:17"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</row>
    <row r="279" spans="5:17"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</row>
    <row r="280" spans="5:17"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</row>
    <row r="281" spans="5:17"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</row>
    <row r="282" spans="5:17"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</row>
    <row r="283" spans="5:17"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</row>
    <row r="284" spans="5:17"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</row>
    <row r="285" spans="5:17"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</row>
    <row r="286" spans="5:17"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</row>
    <row r="287" spans="5:17"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</row>
    <row r="288" spans="5:17"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</row>
    <row r="289" spans="5:17"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</row>
    <row r="290" spans="5:17"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</row>
    <row r="291" spans="5:17"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</row>
    <row r="292" spans="5:17"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</row>
    <row r="293" spans="5:17"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</row>
    <row r="294" spans="5:17"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</row>
    <row r="295" spans="5:17"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</row>
    <row r="296" spans="5:17"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</row>
    <row r="297" spans="5:17"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</row>
    <row r="298" spans="5:17"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</row>
    <row r="299" spans="5:17"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</row>
    <row r="300" spans="5:17"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</row>
    <row r="301" spans="5:17"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</row>
    <row r="302" spans="5:17"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</row>
    <row r="303" spans="5:17"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</row>
    <row r="304" spans="5:17"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</row>
    <row r="305" spans="5:17"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</row>
    <row r="306" spans="5:17"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</row>
    <row r="307" spans="5:17"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</row>
    <row r="308" spans="5:17"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</row>
    <row r="309" spans="5:17"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</row>
    <row r="310" spans="5:17"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</row>
    <row r="311" spans="5:17"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</row>
    <row r="312" spans="5:17"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</row>
    <row r="313" spans="5:17"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</row>
    <row r="314" spans="5:17"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</row>
    <row r="315" spans="5:17"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</row>
    <row r="316" spans="5:17"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</row>
    <row r="317" spans="5:17"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</row>
    <row r="318" spans="5:17"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</row>
    <row r="319" spans="5:17"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</row>
    <row r="320" spans="5:17"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</row>
    <row r="321" spans="5:17"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</row>
    <row r="322" spans="5:17"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</row>
    <row r="323" spans="5:17"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</row>
    <row r="324" spans="5:17"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</row>
    <row r="325" spans="5:17"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</row>
    <row r="326" spans="5:17"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</row>
    <row r="327" spans="5:17"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</row>
    <row r="328" spans="5:17"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</row>
    <row r="329" spans="5:17"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</row>
    <row r="330" spans="5:17"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</row>
    <row r="331" spans="5:17"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</row>
    <row r="332" spans="5:17"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</row>
    <row r="333" spans="5:17"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</row>
    <row r="334" spans="5:17"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</row>
    <row r="335" spans="5:17"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</row>
    <row r="336" spans="5:17"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</row>
    <row r="337" spans="5:17"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</row>
    <row r="338" spans="5:17"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</row>
    <row r="339" spans="5:17"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</row>
    <row r="340" spans="5:17"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</row>
    <row r="341" spans="5:17"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</row>
    <row r="342" spans="5:17"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</row>
    <row r="343" spans="5:17"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</row>
    <row r="344" spans="5:17"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</row>
    <row r="345" spans="5:17"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</row>
    <row r="346" spans="5:17"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</row>
    <row r="347" spans="5:17"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</row>
    <row r="348" spans="5:17"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</row>
    <row r="349" spans="5:17"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</row>
    <row r="350" spans="5:17"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</row>
    <row r="351" spans="5:17"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</row>
    <row r="352" spans="5:17"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</row>
    <row r="353" spans="5:17"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</row>
    <row r="354" spans="5:17"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</row>
    <row r="355" spans="5:17"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</row>
    <row r="356" spans="5:17"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</row>
    <row r="357" spans="5:17"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</row>
    <row r="358" spans="5:17"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</row>
    <row r="359" spans="5:17"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</row>
    <row r="360" spans="5:17"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</row>
    <row r="361" spans="5:17"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</row>
    <row r="362" spans="5:17"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</row>
    <row r="363" spans="5:17"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</row>
    <row r="364" spans="5:17"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</row>
    <row r="365" spans="5:17"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</row>
    <row r="366" spans="5:17"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</row>
    <row r="367" spans="5:17"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</row>
    <row r="368" spans="5:17"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</row>
    <row r="369" spans="5:17"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</row>
    <row r="370" spans="5:17"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</row>
    <row r="371" spans="5:17"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</row>
    <row r="372" spans="5:17"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</row>
    <row r="373" spans="5:17"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</row>
    <row r="374" spans="5:17"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</row>
    <row r="375" spans="5:17"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</row>
    <row r="376" spans="5:17"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</row>
    <row r="377" spans="5:17"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</row>
    <row r="378" spans="5:17"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</row>
    <row r="379" spans="5:17"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</row>
    <row r="380" spans="5:17"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</row>
    <row r="381" spans="5:17"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</row>
    <row r="382" spans="5:17"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</row>
    <row r="383" spans="5:17"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</row>
    <row r="384" spans="5:17"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5:17"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5:17"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5:17"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5:17"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5:17"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5:17"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5:17"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5:17"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5:17"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5:17"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5:17"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5:17"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5:17"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5:17"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5:17"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5:17"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</sheetData>
  <sheetProtection formatCells="0" formatColumns="0" formatRows="0"/>
  <mergeCells count="33">
    <mergeCell ref="E39:F39"/>
    <mergeCell ref="E6:F6"/>
    <mergeCell ref="G37:I37"/>
    <mergeCell ref="E35:F35"/>
    <mergeCell ref="E36:F36"/>
    <mergeCell ref="E37:F37"/>
    <mergeCell ref="E38:F38"/>
    <mergeCell ref="E3:F3"/>
    <mergeCell ref="G38:I38"/>
    <mergeCell ref="G35:I35"/>
    <mergeCell ref="G36:I36"/>
    <mergeCell ref="E5:F5"/>
    <mergeCell ref="J1:O1"/>
    <mergeCell ref="J2:O2"/>
    <mergeCell ref="J3:O3"/>
    <mergeCell ref="J4:O4"/>
    <mergeCell ref="G39:I39"/>
    <mergeCell ref="N8:O8"/>
    <mergeCell ref="N34:O34"/>
    <mergeCell ref="J35:W35"/>
    <mergeCell ref="Q1:S2"/>
    <mergeCell ref="V1:V2"/>
    <mergeCell ref="T4:U4"/>
    <mergeCell ref="E34:J34"/>
    <mergeCell ref="E1:G2"/>
    <mergeCell ref="E4:F4"/>
    <mergeCell ref="H1:I2"/>
    <mergeCell ref="H3:I4"/>
    <mergeCell ref="K7:L7"/>
    <mergeCell ref="H7:J7"/>
    <mergeCell ref="H5:U6"/>
    <mergeCell ref="N7:O7"/>
    <mergeCell ref="T1:U2"/>
  </mergeCells>
  <phoneticPr fontId="2" type="noConversion"/>
  <conditionalFormatting sqref="N34 Q34">
    <cfRule type="cellIs" dxfId="14" priority="32" stopIfTrue="1" operator="greaterThan">
      <formula>#REF!</formula>
    </cfRule>
  </conditionalFormatting>
  <conditionalFormatting sqref="J1:J4">
    <cfRule type="expression" dxfId="13" priority="27" stopIfTrue="1">
      <formula>IF(OR(ISBLANK(J1),J1=""),0,1)</formula>
    </cfRule>
  </conditionalFormatting>
  <conditionalFormatting sqref="F9:F33">
    <cfRule type="expression" dxfId="12" priority="26" stopIfTrue="1">
      <formula>IF(AND(F9="USŁUGA",$G$6&lt;&gt;"usługi"),1,0)</formula>
    </cfRule>
  </conditionalFormatting>
  <conditionalFormatting sqref="G3">
    <cfRule type="containsBlanks" dxfId="11" priority="25">
      <formula>LEN(TRIM(G3))=0</formula>
    </cfRule>
  </conditionalFormatting>
  <conditionalFormatting sqref="G5">
    <cfRule type="containsBlanks" dxfId="10" priority="24">
      <formula>LEN(TRIM(G5))=0</formula>
    </cfRule>
  </conditionalFormatting>
  <conditionalFormatting sqref="G6">
    <cfRule type="containsBlanks" dxfId="9" priority="23">
      <formula>LEN(TRIM(G6))=0</formula>
    </cfRule>
  </conditionalFormatting>
  <conditionalFormatting sqref="G4">
    <cfRule type="containsBlanks" dxfId="8" priority="22">
      <formula>LEN(TRIM(G4))=0</formula>
    </cfRule>
  </conditionalFormatting>
  <conditionalFormatting sqref="J9:J33">
    <cfRule type="expression" dxfId="7" priority="21" stopIfTrue="1">
      <formula>IF(OR(ISBLANK($F9),$F9=""),"",IF(OR(ISBLANK(J9),J9=""),1,0))</formula>
    </cfRule>
  </conditionalFormatting>
  <conditionalFormatting sqref="K9:K33">
    <cfRule type="expression" dxfId="6" priority="19" stopIfTrue="1">
      <formula>IF(OR(ISBLANK($F9),$F9=""),"",IF(OR(ISBLANK(K9),K9=""),1,0))</formula>
    </cfRule>
  </conditionalFormatting>
  <conditionalFormatting sqref="N34:P34">
    <cfRule type="cellIs" dxfId="5" priority="11" operator="equal">
      <formula>"Przekroczenia"</formula>
    </cfRule>
  </conditionalFormatting>
  <conditionalFormatting sqref="N7">
    <cfRule type="cellIs" dxfId="4" priority="9" stopIfTrue="1" operator="greaterThan">
      <formula>#REF!</formula>
    </cfRule>
  </conditionalFormatting>
  <conditionalFormatting sqref="N7:P7">
    <cfRule type="cellIs" dxfId="3" priority="8" operator="equal">
      <formula>"Istnieją przekroczenia budżetu"</formula>
    </cfRule>
  </conditionalFormatting>
  <conditionalFormatting sqref="H9">
    <cfRule type="expression" dxfId="2" priority="5" stopIfTrue="1">
      <formula>IF(OR(ISBLANK($F9),$F9=""),"",IF(OR(ISBLANK(H9),H9=""),1,0))</formula>
    </cfRule>
  </conditionalFormatting>
  <conditionalFormatting sqref="H10:H33">
    <cfRule type="expression" dxfId="1" priority="4" stopIfTrue="1">
      <formula>IF(OR(ISBLANK($F10),$F10=""),"",IF(OR(ISBLANK(H10),H10=""),1,0))</formula>
    </cfRule>
  </conditionalFormatting>
  <conditionalFormatting sqref="I9:I33">
    <cfRule type="expression" dxfId="0" priority="1">
      <formula>IF(OR(ISBLANK($F9),$F9=""),"",IF(OR(ISBLANK(I9),I9=""),1,0))</formula>
    </cfRule>
  </conditionalFormatting>
  <dataValidations count="14">
    <dataValidation type="list" allowBlank="1" showInputMessage="1" showErrorMessage="1" prompt="What type of order? For material or service?" sqref="G6">
      <formula1>towary_uslugi</formula1>
    </dataValidation>
    <dataValidation type="list" allowBlank="1" showInputMessage="1" sqref="F9:F33">
      <formula1>bid_pack_nazwa</formula1>
    </dataValidation>
    <dataValidation allowBlank="1" showInputMessage="1" showErrorMessage="1" prompt="Jaka wartość budżetu jest zarezerwowana na ten towar lub usługę? Wpisz za jedną sztukę." sqref="J8:J33"/>
    <dataValidation allowBlank="1" showInputMessage="1" showErrorMessage="1" prompt="Fill-in order number." sqref="G3"/>
    <dataValidation type="date" allowBlank="1" showInputMessage="1" showErrorMessage="1" error="Date in format year-month-day" prompt="Date in format year-month-day" sqref="G4">
      <formula1>D9</formula1>
      <formula2>54789</formula2>
    </dataValidation>
    <dataValidation allowBlank="1" showInputMessage="1" showErrorMessage="1" prompt="Miejsce na wpisanie uwag ogólnych do całego zamówienia." sqref="Q7:U7 V5:W7 H5 N7"/>
    <dataValidation allowBlank="1" prompt="Uwaga. Każdy materiał powinien być w odrębnym wierszu. Nie można w jednym wierszu tworzyć listy materiałów." sqref="G8:G33"/>
    <dataValidation allowBlank="1" prompt="Jeśli usługa wpisz temat na prawo od tej komórki. Np. &quot;Przeprowadzenie robót budowlanych - zabudowa urządzeń systemu CLX&quot;_x000a_Wykaz prac wpisz w kolumnie C lub jako załącznik._x000a_W kolumnie B wybierz &quot;USŁUGA&quot;." sqref="G7"/>
    <dataValidation type="list" allowBlank="1" showInputMessage="1" showErrorMessage="1" sqref="Y3">
      <formula1>INDIRECT(W3,1)</formula1>
    </dataValidation>
    <dataValidation allowBlank="1" showInputMessage="1" showErrorMessage="1" prompt="Dotychczasowe wykorzystanie tej pozycji budżetowej. Jeśli wybierasz dwa razy tę samą pozycję budżetową, wpisz dla obu wierszy tę samą wartość. [Wykorzystanie pozycji po dyspozycji narastająco] uwzględnia wielokrotne wiersze." sqref="L8:L33"/>
    <dataValidation allowBlank="1" showErrorMessage="1" prompt="Dotychczasowe wykorzystanie tej pozycji budżetowej. Jeśli wybierasz dwa razy tę samą pozycję budżetową, wpisz dla obu wierszy tę samą wartość. [Wykorzystanie pozycji po dyspozycji narastająco] uwzględnia wielokrotne wiersze." sqref="M34"/>
    <dataValidation allowBlank="1" sqref="H1:I4 T1 T3:U3 K7:L7 H7:J7"/>
    <dataValidation type="list" showInputMessage="1" showErrorMessage="1" sqref="H9:H33">
      <formula1>units</formula1>
    </dataValidation>
    <dataValidation type="decimal" allowBlank="1" showInputMessage="1" showErrorMessage="1" sqref="I9:I33">
      <formula1>0</formula1>
      <formula2>9.99999999999999E+38</formula2>
    </dataValidation>
  </dataValidations>
  <pageMargins left="0.19685039370078741" right="0.19685039370078741" top="0.59055118110236227" bottom="0.98425196850393704" header="0" footer="0.51181102362204722"/>
  <pageSetup paperSize="9" scale="60" fitToHeight="0" orientation="landscape" r:id="rId1"/>
  <headerFooter alignWithMargins="0">
    <oddFooter>&amp;C&amp;8Data wydruku: &amp;D &amp;T&amp;RStrona &amp;P z &amp;N&amp;LFORM-Order-001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rkusz4.UpdateSharepoint">
                <anchor moveWithCells="1" sizeWithCells="1">
                  <from>
                    <xdr:col>0</xdr:col>
                    <xdr:colOff>400050</xdr:colOff>
                    <xdr:row>2</xdr:row>
                    <xdr:rowOff>171450</xdr:rowOff>
                  </from>
                  <to>
                    <xdr:col>3</xdr:col>
                    <xdr:colOff>228600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tabColor theme="0" tint="-0.499984740745262"/>
  </sheetPr>
  <dimension ref="A1:C448"/>
  <sheetViews>
    <sheetView workbookViewId="0">
      <selection activeCell="C3" sqref="C3:C102"/>
    </sheetView>
  </sheetViews>
  <sheetFormatPr defaultRowHeight="12"/>
  <cols>
    <col min="1" max="1" width="5.7109375" customWidth="1"/>
    <col min="2" max="2" width="181.140625" bestFit="1" customWidth="1"/>
  </cols>
  <sheetData>
    <row r="1" spans="1:3">
      <c r="A1" s="1"/>
      <c r="B1" s="1" t="s">
        <v>33</v>
      </c>
      <c r="C1" t="s">
        <v>135</v>
      </c>
    </row>
    <row r="2" spans="1:3">
      <c r="A2" s="13"/>
      <c r="B2" s="13" t="s">
        <v>34</v>
      </c>
      <c r="C2">
        <v>0</v>
      </c>
    </row>
    <row r="3" spans="1:3" ht="12.75">
      <c r="A3" s="49"/>
      <c r="B3" s="95" t="s">
        <v>35</v>
      </c>
      <c r="C3">
        <v>100</v>
      </c>
    </row>
    <row r="4" spans="1:3" ht="12.75">
      <c r="A4" s="49"/>
      <c r="B4" s="96" t="s">
        <v>36</v>
      </c>
      <c r="C4">
        <v>110</v>
      </c>
    </row>
    <row r="5" spans="1:3" ht="12.75">
      <c r="A5" s="8"/>
      <c r="B5" s="96" t="s">
        <v>37</v>
      </c>
      <c r="C5">
        <v>120</v>
      </c>
    </row>
    <row r="6" spans="1:3" ht="12.75">
      <c r="A6" s="8"/>
      <c r="B6" s="96" t="s">
        <v>38</v>
      </c>
      <c r="C6">
        <v>130</v>
      </c>
    </row>
    <row r="7" spans="1:3" ht="12.75">
      <c r="A7" s="8"/>
      <c r="B7" s="96" t="s">
        <v>39</v>
      </c>
      <c r="C7">
        <v>140</v>
      </c>
    </row>
    <row r="8" spans="1:3" ht="12.75">
      <c r="A8" s="8"/>
      <c r="B8" s="96" t="s">
        <v>40</v>
      </c>
      <c r="C8">
        <v>150</v>
      </c>
    </row>
    <row r="9" spans="1:3" ht="12.75">
      <c r="A9" s="8"/>
      <c r="B9" s="96" t="s">
        <v>41</v>
      </c>
      <c r="C9">
        <v>160</v>
      </c>
    </row>
    <row r="10" spans="1:3" ht="12.75">
      <c r="A10" s="8"/>
      <c r="B10" s="96" t="s">
        <v>42</v>
      </c>
      <c r="C10">
        <v>170</v>
      </c>
    </row>
    <row r="11" spans="1:3" ht="12.75">
      <c r="A11" s="8"/>
      <c r="B11" s="96" t="s">
        <v>43</v>
      </c>
      <c r="C11">
        <v>180</v>
      </c>
    </row>
    <row r="12" spans="1:3" ht="12.75">
      <c r="A12" s="8"/>
      <c r="B12" s="96" t="s">
        <v>44</v>
      </c>
      <c r="C12">
        <v>190</v>
      </c>
    </row>
    <row r="13" spans="1:3" ht="12.75">
      <c r="A13" s="8"/>
      <c r="B13" s="96" t="s">
        <v>45</v>
      </c>
      <c r="C13">
        <v>200</v>
      </c>
    </row>
    <row r="14" spans="1:3" ht="12.75">
      <c r="A14" s="8"/>
      <c r="B14" s="96" t="s">
        <v>46</v>
      </c>
      <c r="C14">
        <v>210</v>
      </c>
    </row>
    <row r="15" spans="1:3" ht="12.75">
      <c r="A15" s="8"/>
      <c r="B15" s="96" t="s">
        <v>47</v>
      </c>
      <c r="C15">
        <v>220</v>
      </c>
    </row>
    <row r="16" spans="1:3" ht="12.75">
      <c r="A16" s="8"/>
      <c r="B16" s="96" t="s">
        <v>48</v>
      </c>
      <c r="C16">
        <v>230</v>
      </c>
    </row>
    <row r="17" spans="1:3" ht="12.75">
      <c r="A17" s="8"/>
      <c r="B17" s="96" t="s">
        <v>49</v>
      </c>
      <c r="C17">
        <v>240</v>
      </c>
    </row>
    <row r="18" spans="1:3" ht="12.75">
      <c r="A18" s="8"/>
      <c r="B18" s="96" t="s">
        <v>50</v>
      </c>
      <c r="C18">
        <v>250</v>
      </c>
    </row>
    <row r="19" spans="1:3" ht="12.75">
      <c r="A19" s="8"/>
      <c r="B19" s="96" t="s">
        <v>51</v>
      </c>
      <c r="C19">
        <v>260</v>
      </c>
    </row>
    <row r="20" spans="1:3" ht="12.75">
      <c r="A20" s="8"/>
      <c r="B20" s="96" t="s">
        <v>52</v>
      </c>
      <c r="C20">
        <v>270</v>
      </c>
    </row>
    <row r="21" spans="1:3" ht="12.75">
      <c r="A21" s="8"/>
      <c r="B21" s="96" t="s">
        <v>53</v>
      </c>
      <c r="C21">
        <v>280</v>
      </c>
    </row>
    <row r="22" spans="1:3" ht="12.75">
      <c r="A22" s="8"/>
      <c r="B22" s="96" t="s">
        <v>54</v>
      </c>
      <c r="C22">
        <v>290</v>
      </c>
    </row>
    <row r="23" spans="1:3" ht="12.75">
      <c r="A23" s="8"/>
      <c r="B23" s="96" t="s">
        <v>55</v>
      </c>
      <c r="C23">
        <v>300</v>
      </c>
    </row>
    <row r="24" spans="1:3" ht="12.75">
      <c r="A24" s="8"/>
      <c r="B24" s="96" t="s">
        <v>56</v>
      </c>
      <c r="C24">
        <v>310</v>
      </c>
    </row>
    <row r="25" spans="1:3" ht="12.75">
      <c r="A25" s="8"/>
      <c r="B25" s="96" t="s">
        <v>57</v>
      </c>
      <c r="C25">
        <v>320</v>
      </c>
    </row>
    <row r="26" spans="1:3" ht="12.75">
      <c r="A26" s="8"/>
      <c r="B26" s="96" t="s">
        <v>58</v>
      </c>
      <c r="C26">
        <v>330</v>
      </c>
    </row>
    <row r="27" spans="1:3" ht="12.75">
      <c r="A27" s="8"/>
      <c r="B27" s="96" t="s">
        <v>59</v>
      </c>
      <c r="C27">
        <v>340</v>
      </c>
    </row>
    <row r="28" spans="1:3" ht="12.75">
      <c r="A28" s="8"/>
      <c r="B28" s="96" t="s">
        <v>60</v>
      </c>
      <c r="C28">
        <v>350</v>
      </c>
    </row>
    <row r="29" spans="1:3" ht="12.75">
      <c r="A29" s="8"/>
      <c r="B29" s="96" t="s">
        <v>61</v>
      </c>
      <c r="C29">
        <v>360</v>
      </c>
    </row>
    <row r="30" spans="1:3" ht="12.75">
      <c r="A30" s="8"/>
      <c r="B30" s="96" t="s">
        <v>62</v>
      </c>
      <c r="C30">
        <v>370</v>
      </c>
    </row>
    <row r="31" spans="1:3" ht="12.75">
      <c r="A31" s="8"/>
      <c r="B31" s="96" t="s">
        <v>63</v>
      </c>
      <c r="C31">
        <v>380</v>
      </c>
    </row>
    <row r="32" spans="1:3" ht="12.75">
      <c r="A32" s="8"/>
      <c r="B32" s="96" t="s">
        <v>64</v>
      </c>
      <c r="C32">
        <v>390</v>
      </c>
    </row>
    <row r="33" spans="1:3" ht="12.75">
      <c r="A33" s="8"/>
      <c r="B33" s="96" t="s">
        <v>65</v>
      </c>
      <c r="C33">
        <v>400</v>
      </c>
    </row>
    <row r="34" spans="1:3" ht="12.75">
      <c r="A34" s="8"/>
      <c r="B34" s="96" t="s">
        <v>66</v>
      </c>
      <c r="C34">
        <v>410</v>
      </c>
    </row>
    <row r="35" spans="1:3" ht="12.75">
      <c r="A35" s="8"/>
      <c r="B35" s="96" t="s">
        <v>67</v>
      </c>
      <c r="C35">
        <v>420</v>
      </c>
    </row>
    <row r="36" spans="1:3" ht="12.75">
      <c r="A36" s="8"/>
      <c r="B36" s="96" t="s">
        <v>68</v>
      </c>
      <c r="C36">
        <v>430</v>
      </c>
    </row>
    <row r="37" spans="1:3" ht="12.75">
      <c r="A37" s="8"/>
      <c r="B37" s="96" t="s">
        <v>69</v>
      </c>
      <c r="C37">
        <v>440</v>
      </c>
    </row>
    <row r="38" spans="1:3" ht="12.75">
      <c r="A38" s="8"/>
      <c r="B38" s="96" t="s">
        <v>70</v>
      </c>
      <c r="C38">
        <v>450</v>
      </c>
    </row>
    <row r="39" spans="1:3" ht="12.75">
      <c r="A39" s="8"/>
      <c r="B39" s="96" t="s">
        <v>71</v>
      </c>
      <c r="C39">
        <v>460</v>
      </c>
    </row>
    <row r="40" spans="1:3" ht="12.75">
      <c r="A40" s="8"/>
      <c r="B40" s="96" t="s">
        <v>72</v>
      </c>
      <c r="C40">
        <v>470</v>
      </c>
    </row>
    <row r="41" spans="1:3" ht="12.75">
      <c r="A41" s="8"/>
      <c r="B41" s="96" t="s">
        <v>73</v>
      </c>
      <c r="C41">
        <v>480</v>
      </c>
    </row>
    <row r="42" spans="1:3" ht="12.75">
      <c r="A42" s="8"/>
      <c r="B42" s="96" t="s">
        <v>74</v>
      </c>
      <c r="C42">
        <v>490</v>
      </c>
    </row>
    <row r="43" spans="1:3" ht="12.75">
      <c r="A43" s="8"/>
      <c r="B43" s="96" t="s">
        <v>75</v>
      </c>
      <c r="C43">
        <v>500</v>
      </c>
    </row>
    <row r="44" spans="1:3" ht="12.75">
      <c r="A44" s="8"/>
      <c r="B44" s="96" t="s">
        <v>76</v>
      </c>
      <c r="C44">
        <v>510</v>
      </c>
    </row>
    <row r="45" spans="1:3" ht="12.75">
      <c r="A45" s="8"/>
      <c r="B45" s="96" t="s">
        <v>77</v>
      </c>
      <c r="C45">
        <v>520</v>
      </c>
    </row>
    <row r="46" spans="1:3" ht="12.75">
      <c r="A46" s="8"/>
      <c r="B46" s="96" t="s">
        <v>78</v>
      </c>
      <c r="C46">
        <v>530</v>
      </c>
    </row>
    <row r="47" spans="1:3" ht="12.75">
      <c r="A47" s="8"/>
      <c r="B47" s="96" t="s">
        <v>79</v>
      </c>
      <c r="C47">
        <v>540</v>
      </c>
    </row>
    <row r="48" spans="1:3" ht="12.75">
      <c r="A48" s="8"/>
      <c r="B48" s="96" t="s">
        <v>80</v>
      </c>
      <c r="C48">
        <v>550</v>
      </c>
    </row>
    <row r="49" spans="1:3" ht="12.75">
      <c r="A49" s="8"/>
      <c r="B49" s="96" t="s">
        <v>81</v>
      </c>
      <c r="C49">
        <v>560</v>
      </c>
    </row>
    <row r="50" spans="1:3" ht="12.75">
      <c r="A50" s="8"/>
      <c r="B50" s="96" t="s">
        <v>82</v>
      </c>
      <c r="C50">
        <v>570</v>
      </c>
    </row>
    <row r="51" spans="1:3" ht="12.75">
      <c r="A51" s="8"/>
      <c r="B51" s="96" t="s">
        <v>83</v>
      </c>
      <c r="C51">
        <v>580</v>
      </c>
    </row>
    <row r="52" spans="1:3" ht="12.75">
      <c r="A52" s="49"/>
      <c r="B52" s="96" t="s">
        <v>84</v>
      </c>
      <c r="C52">
        <v>590</v>
      </c>
    </row>
    <row r="53" spans="1:3" ht="12.75">
      <c r="A53" s="8"/>
      <c r="B53" s="96" t="s">
        <v>85</v>
      </c>
      <c r="C53">
        <v>600</v>
      </c>
    </row>
    <row r="54" spans="1:3" ht="12.75">
      <c r="A54" s="8"/>
      <c r="B54" s="96" t="s">
        <v>86</v>
      </c>
      <c r="C54">
        <v>610</v>
      </c>
    </row>
    <row r="55" spans="1:3" ht="12.75">
      <c r="A55" s="8"/>
      <c r="B55" s="96" t="s">
        <v>87</v>
      </c>
      <c r="C55">
        <v>620</v>
      </c>
    </row>
    <row r="56" spans="1:3" ht="12.75">
      <c r="A56" s="8"/>
      <c r="B56" s="96" t="s">
        <v>88</v>
      </c>
      <c r="C56">
        <v>630</v>
      </c>
    </row>
    <row r="57" spans="1:3" ht="12.75">
      <c r="A57" s="8"/>
      <c r="B57" s="96" t="s">
        <v>89</v>
      </c>
      <c r="C57">
        <v>640</v>
      </c>
    </row>
    <row r="58" spans="1:3" ht="12.75">
      <c r="A58" s="8"/>
      <c r="B58" s="96" t="s">
        <v>90</v>
      </c>
      <c r="C58">
        <v>650</v>
      </c>
    </row>
    <row r="59" spans="1:3" ht="12.75">
      <c r="A59" s="8"/>
      <c r="B59" s="96" t="s">
        <v>91</v>
      </c>
      <c r="C59">
        <v>660</v>
      </c>
    </row>
    <row r="60" spans="1:3" ht="12.75">
      <c r="A60" s="8"/>
      <c r="B60" s="96" t="s">
        <v>92</v>
      </c>
      <c r="C60">
        <v>670</v>
      </c>
    </row>
    <row r="61" spans="1:3" ht="12.75">
      <c r="A61" s="8"/>
      <c r="B61" s="96" t="s">
        <v>93</v>
      </c>
      <c r="C61">
        <v>680</v>
      </c>
    </row>
    <row r="62" spans="1:3" ht="12.75">
      <c r="A62" s="8"/>
      <c r="B62" s="96" t="s">
        <v>94</v>
      </c>
      <c r="C62">
        <v>690</v>
      </c>
    </row>
    <row r="63" spans="1:3" ht="12.75">
      <c r="A63" s="8"/>
      <c r="B63" s="96" t="s">
        <v>95</v>
      </c>
      <c r="C63">
        <v>700</v>
      </c>
    </row>
    <row r="64" spans="1:3" ht="12.75">
      <c r="A64" s="8"/>
      <c r="B64" s="96" t="s">
        <v>96</v>
      </c>
      <c r="C64">
        <v>710</v>
      </c>
    </row>
    <row r="65" spans="1:3" ht="12.75">
      <c r="A65" s="8"/>
      <c r="B65" s="96" t="s">
        <v>97</v>
      </c>
      <c r="C65">
        <v>720</v>
      </c>
    </row>
    <row r="66" spans="1:3" ht="12.75">
      <c r="A66" s="8"/>
      <c r="B66" s="96" t="s">
        <v>98</v>
      </c>
      <c r="C66">
        <v>730</v>
      </c>
    </row>
    <row r="67" spans="1:3" ht="12.75">
      <c r="A67" s="8"/>
      <c r="B67" s="96" t="s">
        <v>99</v>
      </c>
      <c r="C67">
        <v>740</v>
      </c>
    </row>
    <row r="68" spans="1:3" ht="12.75">
      <c r="A68" s="8"/>
      <c r="B68" s="96" t="s">
        <v>100</v>
      </c>
      <c r="C68">
        <v>750</v>
      </c>
    </row>
    <row r="69" spans="1:3" ht="12.75">
      <c r="A69" s="8"/>
      <c r="B69" s="96" t="s">
        <v>101</v>
      </c>
      <c r="C69">
        <v>760</v>
      </c>
    </row>
    <row r="70" spans="1:3" ht="12.75">
      <c r="A70" s="8"/>
      <c r="B70" s="96" t="s">
        <v>102</v>
      </c>
      <c r="C70">
        <v>770</v>
      </c>
    </row>
    <row r="71" spans="1:3" ht="12.75">
      <c r="A71" s="8"/>
      <c r="B71" s="96" t="s">
        <v>103</v>
      </c>
      <c r="C71">
        <v>780</v>
      </c>
    </row>
    <row r="72" spans="1:3" ht="12.75">
      <c r="A72" s="8"/>
      <c r="B72" s="96" t="s">
        <v>104</v>
      </c>
      <c r="C72">
        <v>790</v>
      </c>
    </row>
    <row r="73" spans="1:3" ht="12.75">
      <c r="A73" s="8"/>
      <c r="B73" s="96" t="s">
        <v>105</v>
      </c>
      <c r="C73">
        <v>800</v>
      </c>
    </row>
    <row r="74" spans="1:3" ht="12.75">
      <c r="A74" s="8"/>
      <c r="B74" s="96" t="s">
        <v>106</v>
      </c>
      <c r="C74">
        <v>810</v>
      </c>
    </row>
    <row r="75" spans="1:3" ht="12.75">
      <c r="A75" s="8"/>
      <c r="B75" s="96" t="s">
        <v>107</v>
      </c>
      <c r="C75">
        <v>820</v>
      </c>
    </row>
    <row r="76" spans="1:3" ht="12.75">
      <c r="A76" s="8"/>
      <c r="B76" s="96" t="s">
        <v>108</v>
      </c>
      <c r="C76">
        <v>830</v>
      </c>
    </row>
    <row r="77" spans="1:3" ht="12.75">
      <c r="A77" s="8"/>
      <c r="B77" s="96" t="s">
        <v>109</v>
      </c>
      <c r="C77">
        <v>840</v>
      </c>
    </row>
    <row r="78" spans="1:3" ht="12.75">
      <c r="A78" s="8"/>
      <c r="B78" s="96" t="s">
        <v>110</v>
      </c>
      <c r="C78">
        <v>850</v>
      </c>
    </row>
    <row r="79" spans="1:3" ht="12.75">
      <c r="A79" s="8"/>
      <c r="B79" s="96" t="s">
        <v>111</v>
      </c>
      <c r="C79">
        <v>860</v>
      </c>
    </row>
    <row r="80" spans="1:3" ht="12.75">
      <c r="A80" s="8"/>
      <c r="B80" s="96" t="s">
        <v>112</v>
      </c>
      <c r="C80">
        <v>870</v>
      </c>
    </row>
    <row r="81" spans="1:3" ht="12.75">
      <c r="A81" s="8"/>
      <c r="B81" s="96" t="s">
        <v>113</v>
      </c>
      <c r="C81">
        <v>880</v>
      </c>
    </row>
    <row r="82" spans="1:3" ht="12.75">
      <c r="A82" s="8"/>
      <c r="B82" s="96" t="s">
        <v>114</v>
      </c>
      <c r="C82">
        <v>890</v>
      </c>
    </row>
    <row r="83" spans="1:3" ht="12.75">
      <c r="A83" s="8"/>
      <c r="B83" s="96" t="s">
        <v>115</v>
      </c>
      <c r="C83">
        <v>900</v>
      </c>
    </row>
    <row r="84" spans="1:3" ht="12.75">
      <c r="A84" s="8"/>
      <c r="B84" s="96" t="s">
        <v>116</v>
      </c>
      <c r="C84">
        <v>910</v>
      </c>
    </row>
    <row r="85" spans="1:3" ht="12.75">
      <c r="A85" s="8"/>
      <c r="B85" s="96" t="s">
        <v>117</v>
      </c>
      <c r="C85">
        <v>920</v>
      </c>
    </row>
    <row r="86" spans="1:3" ht="12.75">
      <c r="A86" s="8"/>
      <c r="B86" s="96" t="s">
        <v>118</v>
      </c>
      <c r="C86">
        <v>930</v>
      </c>
    </row>
    <row r="87" spans="1:3" ht="12.75">
      <c r="A87" s="8"/>
      <c r="B87" s="96" t="s">
        <v>119</v>
      </c>
      <c r="C87">
        <v>940</v>
      </c>
    </row>
    <row r="88" spans="1:3" ht="12.75">
      <c r="A88" s="8"/>
      <c r="B88" s="96" t="s">
        <v>120</v>
      </c>
      <c r="C88">
        <v>950</v>
      </c>
    </row>
    <row r="89" spans="1:3" ht="12.75">
      <c r="A89" s="8"/>
      <c r="B89" s="96" t="s">
        <v>121</v>
      </c>
      <c r="C89">
        <v>960</v>
      </c>
    </row>
    <row r="90" spans="1:3" ht="12.75">
      <c r="A90" s="8"/>
      <c r="B90" s="96" t="s">
        <v>122</v>
      </c>
      <c r="C90">
        <v>970</v>
      </c>
    </row>
    <row r="91" spans="1:3" ht="12.75">
      <c r="A91" s="8"/>
      <c r="B91" s="96" t="s">
        <v>123</v>
      </c>
      <c r="C91">
        <v>980</v>
      </c>
    </row>
    <row r="92" spans="1:3" ht="12.75">
      <c r="A92" s="8"/>
      <c r="B92" s="96" t="s">
        <v>124</v>
      </c>
      <c r="C92">
        <v>990</v>
      </c>
    </row>
    <row r="93" spans="1:3" ht="12.75">
      <c r="A93" s="8"/>
      <c r="B93" s="96" t="s">
        <v>125</v>
      </c>
      <c r="C93">
        <v>1000</v>
      </c>
    </row>
    <row r="94" spans="1:3" ht="12.75">
      <c r="A94" s="8"/>
      <c r="B94" s="96" t="s">
        <v>126</v>
      </c>
      <c r="C94">
        <v>1010</v>
      </c>
    </row>
    <row r="95" spans="1:3" ht="12.75">
      <c r="A95" s="8"/>
      <c r="B95" s="96" t="s">
        <v>127</v>
      </c>
      <c r="C95">
        <v>1020</v>
      </c>
    </row>
    <row r="96" spans="1:3" ht="12.75">
      <c r="A96" s="8"/>
      <c r="B96" s="96" t="s">
        <v>128</v>
      </c>
      <c r="C96">
        <v>1030</v>
      </c>
    </row>
    <row r="97" spans="1:3" ht="12.75">
      <c r="A97" s="49"/>
      <c r="B97" s="96" t="s">
        <v>129</v>
      </c>
      <c r="C97">
        <v>1040</v>
      </c>
    </row>
    <row r="98" spans="1:3" ht="12.75">
      <c r="A98" s="8"/>
      <c r="B98" s="96" t="s">
        <v>130</v>
      </c>
      <c r="C98">
        <v>1050</v>
      </c>
    </row>
    <row r="99" spans="1:3" ht="12.75">
      <c r="A99" s="8"/>
      <c r="B99" s="96" t="s">
        <v>131</v>
      </c>
      <c r="C99">
        <v>1060</v>
      </c>
    </row>
    <row r="100" spans="1:3" ht="12.75">
      <c r="A100" s="8"/>
      <c r="B100" s="96" t="s">
        <v>132</v>
      </c>
      <c r="C100">
        <v>1070</v>
      </c>
    </row>
    <row r="101" spans="1:3" ht="12.75">
      <c r="A101" s="8"/>
      <c r="B101" s="96" t="s">
        <v>133</v>
      </c>
      <c r="C101">
        <v>1080</v>
      </c>
    </row>
    <row r="102" spans="1:3" ht="12.75">
      <c r="A102" s="8"/>
      <c r="B102" s="96" t="s">
        <v>134</v>
      </c>
      <c r="C102">
        <v>1090</v>
      </c>
    </row>
    <row r="103" spans="1:3" ht="12.75">
      <c r="A103" s="8"/>
      <c r="B103" s="95"/>
    </row>
    <row r="104" spans="1:3" ht="12.75">
      <c r="A104" s="8"/>
      <c r="B104" s="95"/>
    </row>
    <row r="105" spans="1:3" ht="12.75">
      <c r="A105" s="8"/>
      <c r="B105" s="95"/>
    </row>
    <row r="106" spans="1:3" ht="12.75">
      <c r="A106" s="8"/>
      <c r="B106" s="95"/>
    </row>
    <row r="107" spans="1:3" ht="12.75">
      <c r="A107" s="8"/>
      <c r="B107" s="95"/>
    </row>
    <row r="108" spans="1:3" ht="12.75">
      <c r="A108" s="8"/>
      <c r="B108" s="95"/>
    </row>
    <row r="109" spans="1:3" ht="12.75">
      <c r="A109" s="8"/>
      <c r="B109" s="95"/>
    </row>
    <row r="110" spans="1:3" ht="12.75">
      <c r="A110" s="8"/>
      <c r="B110" s="95"/>
    </row>
    <row r="111" spans="1:3" ht="12.75">
      <c r="A111" s="8"/>
      <c r="B111" s="95"/>
    </row>
    <row r="112" spans="1:3" ht="12.75">
      <c r="A112" s="8"/>
      <c r="B112" s="95"/>
    </row>
    <row r="113" spans="1:2" ht="12.75">
      <c r="A113" s="8"/>
      <c r="B113" s="95"/>
    </row>
    <row r="114" spans="1:2" ht="12.75">
      <c r="A114" s="8"/>
      <c r="B114" s="95"/>
    </row>
    <row r="115" spans="1:2" ht="12.75">
      <c r="A115" s="8"/>
      <c r="B115" s="95"/>
    </row>
    <row r="116" spans="1:2" ht="12.75">
      <c r="A116" s="8"/>
      <c r="B116" s="95"/>
    </row>
    <row r="117" spans="1:2" ht="12.75">
      <c r="A117" s="8"/>
      <c r="B117" s="95"/>
    </row>
    <row r="118" spans="1:2" ht="12.75">
      <c r="A118" s="8"/>
      <c r="B118" s="95"/>
    </row>
    <row r="119" spans="1:2" ht="12.75">
      <c r="A119" s="8"/>
      <c r="B119" s="95"/>
    </row>
    <row r="120" spans="1:2" ht="12.75">
      <c r="A120" s="8"/>
      <c r="B120" s="95"/>
    </row>
    <row r="121" spans="1:2" ht="12.75">
      <c r="A121" s="8"/>
      <c r="B121" s="95"/>
    </row>
    <row r="122" spans="1:2" ht="12.75">
      <c r="A122" s="8"/>
      <c r="B122" s="95"/>
    </row>
    <row r="123" spans="1:2" ht="12.75">
      <c r="A123" s="8"/>
      <c r="B123" s="95"/>
    </row>
    <row r="124" spans="1:2" ht="12.75">
      <c r="A124" s="8"/>
      <c r="B124" s="95"/>
    </row>
    <row r="125" spans="1:2" ht="12.75">
      <c r="A125" s="8"/>
      <c r="B125" s="95"/>
    </row>
    <row r="126" spans="1:2" ht="12.75">
      <c r="A126" s="49"/>
      <c r="B126" s="95"/>
    </row>
    <row r="127" spans="1:2" ht="12.75">
      <c r="A127" s="8"/>
      <c r="B127" s="95"/>
    </row>
    <row r="128" spans="1:2" ht="12.75">
      <c r="A128" s="8"/>
      <c r="B128" s="95"/>
    </row>
    <row r="129" spans="1:2" ht="12.75">
      <c r="A129" s="8"/>
      <c r="B129" s="95"/>
    </row>
    <row r="130" spans="1:2" ht="12.75">
      <c r="A130" s="8"/>
      <c r="B130" s="95"/>
    </row>
    <row r="131" spans="1:2" ht="12.75">
      <c r="A131" s="8"/>
      <c r="B131" s="95"/>
    </row>
    <row r="132" spans="1:2" ht="12.75">
      <c r="A132" s="8"/>
      <c r="B132" s="95"/>
    </row>
    <row r="133" spans="1:2" ht="12.75">
      <c r="A133" s="8"/>
      <c r="B133" s="95"/>
    </row>
    <row r="134" spans="1:2" ht="12.75">
      <c r="A134" s="8"/>
      <c r="B134" s="95"/>
    </row>
    <row r="135" spans="1:2" ht="12.75">
      <c r="A135" s="8"/>
      <c r="B135" s="95"/>
    </row>
    <row r="136" spans="1:2" ht="12.75">
      <c r="A136" s="8"/>
      <c r="B136" s="95"/>
    </row>
    <row r="137" spans="1:2" ht="12.75">
      <c r="A137" s="8"/>
      <c r="B137" s="95"/>
    </row>
    <row r="138" spans="1:2" ht="12.75">
      <c r="A138" s="8"/>
      <c r="B138" s="95"/>
    </row>
    <row r="139" spans="1:2" ht="12.75">
      <c r="A139" s="8"/>
      <c r="B139" s="95"/>
    </row>
    <row r="140" spans="1:2" ht="12.75">
      <c r="A140" s="8"/>
      <c r="B140" s="95"/>
    </row>
    <row r="141" spans="1:2" ht="12.75">
      <c r="A141" s="49"/>
      <c r="B141" s="95"/>
    </row>
    <row r="142" spans="1:2" ht="12.75">
      <c r="A142" s="8"/>
      <c r="B142" s="95"/>
    </row>
    <row r="143" spans="1:2" ht="12.75">
      <c r="A143" s="8"/>
      <c r="B143" s="95"/>
    </row>
    <row r="144" spans="1:2" ht="12.75">
      <c r="A144" s="8"/>
      <c r="B144" s="95"/>
    </row>
    <row r="145" spans="1:2" ht="12.75">
      <c r="A145" s="8"/>
      <c r="B145" s="95"/>
    </row>
    <row r="146" spans="1:2" ht="12.75">
      <c r="A146" s="8"/>
      <c r="B146" s="95"/>
    </row>
    <row r="147" spans="1:2" ht="12.75">
      <c r="A147" s="49"/>
      <c r="B147" s="95"/>
    </row>
    <row r="148" spans="1:2" ht="12.75">
      <c r="A148" s="8"/>
      <c r="B148" s="95"/>
    </row>
    <row r="149" spans="1:2" ht="12.75">
      <c r="A149" s="8"/>
      <c r="B149" s="95"/>
    </row>
    <row r="150" spans="1:2" ht="12.75">
      <c r="A150" s="49"/>
      <c r="B150" s="95"/>
    </row>
    <row r="151" spans="1:2" ht="12.75">
      <c r="A151" s="49"/>
      <c r="B151" s="95"/>
    </row>
    <row r="152" spans="1:2" ht="12.75">
      <c r="A152" s="49"/>
      <c r="B152" s="95"/>
    </row>
    <row r="153" spans="1:2" ht="12.75">
      <c r="A153" s="49"/>
      <c r="B153" s="95"/>
    </row>
    <row r="154" spans="1:2" ht="12.75">
      <c r="A154" s="49"/>
      <c r="B154" s="95"/>
    </row>
    <row r="155" spans="1:2" ht="12.75">
      <c r="A155" s="49"/>
      <c r="B155" s="95"/>
    </row>
    <row r="156" spans="1:2" ht="12.75">
      <c r="A156" s="49"/>
      <c r="B156" s="95"/>
    </row>
    <row r="157" spans="1:2" ht="12.75">
      <c r="A157" s="11"/>
      <c r="B157" s="95"/>
    </row>
    <row r="158" spans="1:2" ht="12.75">
      <c r="A158" s="11"/>
      <c r="B158" s="95"/>
    </row>
    <row r="159" spans="1:2" ht="12.75">
      <c r="A159" s="11"/>
      <c r="B159" s="95"/>
    </row>
    <row r="160" spans="1:2" ht="12.75">
      <c r="A160" s="11"/>
      <c r="B160" s="95"/>
    </row>
    <row r="161" spans="1:2" ht="12.75">
      <c r="A161" s="11"/>
      <c r="B161" s="95"/>
    </row>
    <row r="162" spans="1:2" ht="12.75">
      <c r="A162" s="11"/>
      <c r="B162" s="95"/>
    </row>
    <row r="163" spans="1:2" ht="12.75">
      <c r="A163" s="11"/>
      <c r="B163" s="95"/>
    </row>
    <row r="164" spans="1:2" ht="12.75">
      <c r="A164" s="11"/>
      <c r="B164" s="95"/>
    </row>
    <row r="165" spans="1:2" ht="12.75">
      <c r="A165" s="11"/>
      <c r="B165" s="95"/>
    </row>
    <row r="166" spans="1:2" ht="12.75">
      <c r="A166" s="11"/>
      <c r="B166" s="95"/>
    </row>
    <row r="167" spans="1:2" ht="12.75">
      <c r="A167" s="11"/>
      <c r="B167" s="95"/>
    </row>
    <row r="168" spans="1:2" ht="12.75">
      <c r="A168" s="11"/>
      <c r="B168" s="95"/>
    </row>
    <row r="169" spans="1:2" ht="12.75">
      <c r="A169" s="11"/>
      <c r="B169" s="95"/>
    </row>
    <row r="170" spans="1:2" ht="12.75">
      <c r="A170" s="11"/>
      <c r="B170" s="95"/>
    </row>
    <row r="171" spans="1:2" ht="12.75">
      <c r="A171" s="11"/>
      <c r="B171" s="95"/>
    </row>
    <row r="172" spans="1:2" ht="12.75">
      <c r="A172" s="11"/>
      <c r="B172" s="95"/>
    </row>
    <row r="173" spans="1:2" ht="12.75">
      <c r="A173" s="11"/>
      <c r="B173" s="95"/>
    </row>
    <row r="174" spans="1:2" ht="12.75">
      <c r="A174" s="11"/>
      <c r="B174" s="95"/>
    </row>
    <row r="175" spans="1:2" ht="12.75">
      <c r="A175" s="11"/>
      <c r="B175" s="95"/>
    </row>
    <row r="176" spans="1:2" ht="12.75">
      <c r="A176" s="11"/>
      <c r="B176" s="95"/>
    </row>
    <row r="177" spans="1:2" ht="12.75">
      <c r="A177" s="11"/>
      <c r="B177" s="95"/>
    </row>
    <row r="178" spans="1:2" ht="12.75">
      <c r="A178" s="11"/>
      <c r="B178" s="95"/>
    </row>
    <row r="179" spans="1:2" ht="12.75">
      <c r="A179" s="11"/>
      <c r="B179" s="95"/>
    </row>
    <row r="180" spans="1:2" ht="12.75">
      <c r="A180" s="11"/>
      <c r="B180" s="95"/>
    </row>
    <row r="181" spans="1:2" ht="12.75">
      <c r="A181" s="11"/>
      <c r="B181" s="95"/>
    </row>
    <row r="182" spans="1:2" ht="12.75">
      <c r="A182" s="11"/>
      <c r="B182" s="95"/>
    </row>
    <row r="183" spans="1:2" ht="12.75">
      <c r="A183" s="11"/>
      <c r="B183" s="95"/>
    </row>
    <row r="184" spans="1:2" ht="12.75">
      <c r="A184" s="11"/>
      <c r="B184" s="95"/>
    </row>
    <row r="185" spans="1:2" ht="12.75">
      <c r="A185" s="11"/>
      <c r="B185" s="95"/>
    </row>
    <row r="186" spans="1:2" ht="12.75">
      <c r="A186" s="11"/>
      <c r="B186" s="95"/>
    </row>
    <row r="187" spans="1:2" ht="12.75">
      <c r="A187" s="11"/>
      <c r="B187" s="95"/>
    </row>
    <row r="188" spans="1:2" ht="12.75">
      <c r="A188" s="11"/>
      <c r="B188" s="95"/>
    </row>
    <row r="189" spans="1:2" ht="12.75">
      <c r="A189" s="11"/>
      <c r="B189" s="95"/>
    </row>
    <row r="190" spans="1:2" ht="12.75">
      <c r="A190" s="11"/>
      <c r="B190" s="95"/>
    </row>
    <row r="191" spans="1:2" ht="12.75">
      <c r="A191" s="11"/>
      <c r="B191" s="95"/>
    </row>
    <row r="192" spans="1:2" ht="12.75">
      <c r="A192" s="11"/>
      <c r="B192" s="95"/>
    </row>
    <row r="193" spans="1:2" ht="12.75">
      <c r="A193" s="11"/>
      <c r="B193" s="95"/>
    </row>
    <row r="194" spans="1:2" ht="12.75">
      <c r="A194" s="11"/>
      <c r="B194" s="95"/>
    </row>
    <row r="195" spans="1:2" ht="12.75">
      <c r="A195" s="11"/>
      <c r="B195" s="95"/>
    </row>
    <row r="196" spans="1:2" ht="12.75">
      <c r="A196" s="11"/>
      <c r="B196" s="95"/>
    </row>
    <row r="197" spans="1:2" ht="12.75">
      <c r="A197" s="11"/>
      <c r="B197" s="95"/>
    </row>
    <row r="198" spans="1:2" ht="12.75">
      <c r="A198" s="11"/>
      <c r="B198" s="95"/>
    </row>
    <row r="199" spans="1:2" ht="12.75">
      <c r="A199" s="11"/>
      <c r="B199" s="95"/>
    </row>
    <row r="200" spans="1:2" ht="12.75">
      <c r="A200" s="11"/>
      <c r="B200" s="95"/>
    </row>
    <row r="201" spans="1:2">
      <c r="A201" s="11"/>
      <c r="B201" s="11"/>
    </row>
    <row r="202" spans="1:2">
      <c r="A202" s="11"/>
      <c r="B202" s="11"/>
    </row>
    <row r="203" spans="1:2">
      <c r="A203" s="11"/>
      <c r="B203" s="11"/>
    </row>
    <row r="204" spans="1:2">
      <c r="A204" s="11"/>
      <c r="B204" s="11"/>
    </row>
    <row r="205" spans="1:2">
      <c r="A205" s="11"/>
      <c r="B205" s="11"/>
    </row>
    <row r="206" spans="1:2">
      <c r="A206" s="11"/>
      <c r="B206" s="11"/>
    </row>
    <row r="207" spans="1:2">
      <c r="A207" s="11"/>
      <c r="B207" s="11"/>
    </row>
    <row r="208" spans="1:2">
      <c r="A208" s="11"/>
      <c r="B208" s="11"/>
    </row>
    <row r="209" spans="1:2">
      <c r="A209" s="11"/>
      <c r="B209" s="11"/>
    </row>
    <row r="210" spans="1:2">
      <c r="A210" s="11"/>
      <c r="B210" s="11"/>
    </row>
    <row r="211" spans="1:2">
      <c r="A211" s="11"/>
      <c r="B211" s="11"/>
    </row>
    <row r="212" spans="1:2">
      <c r="A212" s="11"/>
      <c r="B212" s="11"/>
    </row>
    <row r="213" spans="1:2">
      <c r="A213" s="11"/>
      <c r="B213" s="11"/>
    </row>
    <row r="214" spans="1:2">
      <c r="A214" s="11"/>
      <c r="B214" s="11"/>
    </row>
    <row r="215" spans="1:2">
      <c r="A215" s="11"/>
      <c r="B215" s="11"/>
    </row>
    <row r="216" spans="1:2">
      <c r="A216" s="11"/>
      <c r="B216" s="11"/>
    </row>
    <row r="217" spans="1:2">
      <c r="A217" s="11"/>
      <c r="B217" s="11"/>
    </row>
    <row r="218" spans="1:2">
      <c r="A218" s="11"/>
      <c r="B218" s="11"/>
    </row>
    <row r="219" spans="1:2">
      <c r="A219" s="11"/>
      <c r="B219" s="11"/>
    </row>
    <row r="220" spans="1:2">
      <c r="A220" s="11"/>
      <c r="B220" s="11"/>
    </row>
    <row r="221" spans="1:2">
      <c r="A221" s="11"/>
      <c r="B221" s="11"/>
    </row>
    <row r="222" spans="1:2">
      <c r="A222" s="11"/>
      <c r="B222" s="11"/>
    </row>
    <row r="223" spans="1:2">
      <c r="A223" s="11"/>
      <c r="B223" s="11"/>
    </row>
    <row r="224" spans="1:2">
      <c r="A224" s="11"/>
      <c r="B224" s="11"/>
    </row>
    <row r="225" spans="1:2">
      <c r="A225" s="11"/>
      <c r="B225" s="11"/>
    </row>
    <row r="226" spans="1:2">
      <c r="A226" s="11"/>
      <c r="B226" s="11"/>
    </row>
    <row r="227" spans="1:2">
      <c r="A227" s="11"/>
      <c r="B227" s="11"/>
    </row>
    <row r="228" spans="1:2">
      <c r="A228" s="11"/>
      <c r="B228" s="11"/>
    </row>
    <row r="229" spans="1:2">
      <c r="A229" s="11"/>
      <c r="B229" s="11"/>
    </row>
    <row r="230" spans="1:2">
      <c r="A230" s="11"/>
      <c r="B230" s="11"/>
    </row>
    <row r="231" spans="1:2">
      <c r="A231" s="11"/>
      <c r="B231" s="11"/>
    </row>
    <row r="232" spans="1:2">
      <c r="A232" s="11"/>
      <c r="B232" s="11"/>
    </row>
    <row r="233" spans="1:2">
      <c r="A233" s="11"/>
      <c r="B233" s="11"/>
    </row>
    <row r="234" spans="1:2">
      <c r="A234" s="11"/>
      <c r="B234" s="11"/>
    </row>
    <row r="235" spans="1:2">
      <c r="A235" s="11"/>
      <c r="B235" s="11"/>
    </row>
    <row r="236" spans="1:2">
      <c r="A236" s="11"/>
      <c r="B236" s="11"/>
    </row>
    <row r="237" spans="1:2">
      <c r="A237" s="11"/>
      <c r="B237" s="11"/>
    </row>
    <row r="238" spans="1:2">
      <c r="A238" s="11"/>
      <c r="B238" s="11"/>
    </row>
    <row r="239" spans="1:2">
      <c r="A239" s="11"/>
      <c r="B239" s="11"/>
    </row>
    <row r="240" spans="1:2">
      <c r="A240" s="11"/>
      <c r="B240" s="11"/>
    </row>
    <row r="241" spans="1:2">
      <c r="A241" s="11"/>
      <c r="B241" s="11"/>
    </row>
    <row r="242" spans="1:2">
      <c r="A242" s="11"/>
      <c r="B242" s="11"/>
    </row>
    <row r="243" spans="1:2">
      <c r="A243" s="11"/>
      <c r="B243" s="11"/>
    </row>
    <row r="244" spans="1:2">
      <c r="A244" s="11"/>
      <c r="B244" s="11"/>
    </row>
    <row r="245" spans="1:2">
      <c r="A245" s="11"/>
      <c r="B245" s="11"/>
    </row>
    <row r="246" spans="1:2">
      <c r="A246" s="11"/>
      <c r="B246" s="11"/>
    </row>
    <row r="247" spans="1:2">
      <c r="A247" s="11"/>
      <c r="B247" s="11"/>
    </row>
    <row r="248" spans="1:2">
      <c r="A248" s="11"/>
      <c r="B248" s="11"/>
    </row>
    <row r="249" spans="1:2">
      <c r="A249" s="11"/>
      <c r="B249" s="11"/>
    </row>
    <row r="250" spans="1:2">
      <c r="A250" s="11"/>
      <c r="B250" s="11"/>
    </row>
    <row r="251" spans="1:2">
      <c r="A251" s="11"/>
      <c r="B251" s="11"/>
    </row>
    <row r="252" spans="1:2">
      <c r="A252" s="11"/>
      <c r="B252" s="11"/>
    </row>
    <row r="253" spans="1:2">
      <c r="A253" s="11"/>
      <c r="B253" s="11"/>
    </row>
    <row r="254" spans="1:2">
      <c r="A254" s="11"/>
      <c r="B254" s="11"/>
    </row>
    <row r="255" spans="1:2">
      <c r="A255" s="11"/>
      <c r="B255" s="11"/>
    </row>
    <row r="256" spans="1:2">
      <c r="A256" s="11"/>
      <c r="B256" s="11"/>
    </row>
    <row r="257" spans="1:2">
      <c r="A257" s="11"/>
      <c r="B257" s="11"/>
    </row>
    <row r="258" spans="1:2">
      <c r="A258" s="11"/>
      <c r="B258" s="11"/>
    </row>
    <row r="259" spans="1:2">
      <c r="A259" s="11"/>
      <c r="B259" s="11"/>
    </row>
    <row r="260" spans="1:2">
      <c r="A260" s="11"/>
      <c r="B260" s="11"/>
    </row>
    <row r="261" spans="1:2">
      <c r="A261" s="11"/>
      <c r="B261" s="11"/>
    </row>
    <row r="262" spans="1:2">
      <c r="A262" s="11"/>
      <c r="B262" s="11"/>
    </row>
    <row r="263" spans="1:2">
      <c r="A263" s="11"/>
      <c r="B263" s="11"/>
    </row>
    <row r="264" spans="1:2">
      <c r="A264" s="11"/>
      <c r="B264" s="11"/>
    </row>
    <row r="265" spans="1:2">
      <c r="A265" s="11"/>
      <c r="B265" s="11"/>
    </row>
    <row r="266" spans="1:2">
      <c r="A266" s="11"/>
      <c r="B266" s="11"/>
    </row>
    <row r="267" spans="1:2">
      <c r="A267" s="11"/>
      <c r="B267" s="11"/>
    </row>
    <row r="268" spans="1:2">
      <c r="A268" s="11"/>
      <c r="B268" s="11"/>
    </row>
    <row r="269" spans="1:2">
      <c r="A269" s="11"/>
      <c r="B269" s="11"/>
    </row>
    <row r="270" spans="1:2">
      <c r="A270" s="11"/>
      <c r="B270" s="11"/>
    </row>
    <row r="271" spans="1:2">
      <c r="A271" s="11"/>
      <c r="B271" s="11"/>
    </row>
    <row r="272" spans="1:2">
      <c r="A272" s="11"/>
      <c r="B272" s="11"/>
    </row>
    <row r="273" spans="1:2">
      <c r="A273" s="11"/>
      <c r="B273" s="11"/>
    </row>
    <row r="274" spans="1:2">
      <c r="A274" s="11"/>
      <c r="B274" s="11"/>
    </row>
    <row r="275" spans="1:2">
      <c r="A275" s="11"/>
      <c r="B275" s="11"/>
    </row>
    <row r="276" spans="1:2">
      <c r="A276" s="11"/>
      <c r="B276" s="11"/>
    </row>
    <row r="277" spans="1:2">
      <c r="A277" s="11"/>
      <c r="B277" s="11"/>
    </row>
    <row r="278" spans="1:2">
      <c r="A278" s="11"/>
      <c r="B278" s="11"/>
    </row>
    <row r="279" spans="1:2">
      <c r="A279" s="11"/>
      <c r="B279" s="11"/>
    </row>
    <row r="280" spans="1:2">
      <c r="A280" s="11"/>
      <c r="B280" s="11"/>
    </row>
    <row r="281" spans="1:2">
      <c r="A281" s="11"/>
      <c r="B281" s="11"/>
    </row>
    <row r="282" spans="1:2">
      <c r="A282" s="11"/>
      <c r="B282" s="11"/>
    </row>
    <row r="283" spans="1:2">
      <c r="A283" s="11"/>
      <c r="B283" s="11"/>
    </row>
    <row r="284" spans="1:2">
      <c r="A284" s="11"/>
      <c r="B284" s="11"/>
    </row>
    <row r="285" spans="1:2">
      <c r="A285" s="11"/>
      <c r="B285" s="11"/>
    </row>
    <row r="286" spans="1:2">
      <c r="A286" s="11"/>
      <c r="B286" s="11"/>
    </row>
    <row r="287" spans="1:2">
      <c r="A287" s="11"/>
      <c r="B287" s="11"/>
    </row>
    <row r="288" spans="1:2">
      <c r="A288" s="11"/>
      <c r="B288" s="11"/>
    </row>
    <row r="289" spans="1:2">
      <c r="A289" s="11"/>
      <c r="B289" s="11"/>
    </row>
    <row r="290" spans="1:2">
      <c r="A290" s="11"/>
      <c r="B290" s="11"/>
    </row>
    <row r="291" spans="1:2">
      <c r="A291" s="11"/>
      <c r="B291" s="11"/>
    </row>
    <row r="292" spans="1:2">
      <c r="A292" s="11"/>
      <c r="B292" s="11"/>
    </row>
    <row r="293" spans="1:2">
      <c r="A293" s="11"/>
      <c r="B293" s="11"/>
    </row>
    <row r="294" spans="1:2">
      <c r="A294" s="11"/>
      <c r="B294" s="11"/>
    </row>
    <row r="295" spans="1:2">
      <c r="A295" s="11"/>
      <c r="B295" s="11"/>
    </row>
    <row r="296" spans="1:2">
      <c r="A296" s="11"/>
      <c r="B296" s="11"/>
    </row>
    <row r="297" spans="1:2">
      <c r="A297" s="11"/>
      <c r="B297" s="11"/>
    </row>
    <row r="298" spans="1:2">
      <c r="A298" s="11"/>
      <c r="B298" s="11"/>
    </row>
    <row r="299" spans="1:2">
      <c r="A299" s="11"/>
      <c r="B299" s="11"/>
    </row>
    <row r="300" spans="1:2">
      <c r="A300" s="11"/>
      <c r="B300" s="11"/>
    </row>
    <row r="301" spans="1:2">
      <c r="A301" s="11"/>
      <c r="B301" s="11"/>
    </row>
    <row r="302" spans="1:2">
      <c r="A302" s="11"/>
      <c r="B302" s="11"/>
    </row>
    <row r="303" spans="1:2">
      <c r="A303" s="11"/>
      <c r="B303" s="11"/>
    </row>
    <row r="304" spans="1:2">
      <c r="A304" s="11"/>
      <c r="B304" s="11"/>
    </row>
    <row r="305" spans="1:2">
      <c r="A305" s="11"/>
      <c r="B305" s="11"/>
    </row>
    <row r="306" spans="1:2">
      <c r="A306" s="11"/>
      <c r="B306" s="11"/>
    </row>
    <row r="307" spans="1:2">
      <c r="A307" s="11"/>
      <c r="B307" s="11"/>
    </row>
    <row r="308" spans="1:2">
      <c r="A308" s="11"/>
      <c r="B308" s="11"/>
    </row>
    <row r="309" spans="1:2">
      <c r="A309" s="11"/>
      <c r="B309" s="11"/>
    </row>
    <row r="310" spans="1:2">
      <c r="A310" s="11"/>
      <c r="B310" s="11"/>
    </row>
    <row r="311" spans="1:2">
      <c r="A311" s="11"/>
      <c r="B311" s="11"/>
    </row>
    <row r="312" spans="1:2">
      <c r="A312" s="11"/>
      <c r="B312" s="11"/>
    </row>
    <row r="313" spans="1:2">
      <c r="A313" s="11"/>
      <c r="B313" s="11"/>
    </row>
    <row r="314" spans="1:2">
      <c r="A314" s="11"/>
      <c r="B314" s="11"/>
    </row>
    <row r="315" spans="1:2">
      <c r="A315" s="11"/>
      <c r="B315" s="11"/>
    </row>
    <row r="316" spans="1:2">
      <c r="A316" s="11"/>
      <c r="B316" s="11"/>
    </row>
    <row r="317" spans="1:2">
      <c r="A317" s="11"/>
      <c r="B317" s="11"/>
    </row>
    <row r="318" spans="1:2">
      <c r="A318" s="11"/>
      <c r="B318" s="11"/>
    </row>
    <row r="319" spans="1:2">
      <c r="A319" s="11"/>
      <c r="B319" s="11"/>
    </row>
    <row r="320" spans="1:2">
      <c r="A320" s="11"/>
      <c r="B320" s="11"/>
    </row>
    <row r="321" spans="1:2">
      <c r="A321" s="11"/>
      <c r="B321" s="11"/>
    </row>
    <row r="322" spans="1:2">
      <c r="A322" s="11"/>
      <c r="B322" s="11"/>
    </row>
    <row r="323" spans="1:2">
      <c r="A323" s="11"/>
      <c r="B323" s="11"/>
    </row>
    <row r="324" spans="1:2">
      <c r="A324" s="11"/>
      <c r="B324" s="11"/>
    </row>
    <row r="325" spans="1:2">
      <c r="A325" s="11"/>
      <c r="B325" s="11"/>
    </row>
    <row r="326" spans="1:2">
      <c r="A326" s="11"/>
      <c r="B326" s="11"/>
    </row>
    <row r="327" spans="1:2">
      <c r="A327" s="11"/>
      <c r="B327" s="11"/>
    </row>
    <row r="328" spans="1:2">
      <c r="A328" s="11"/>
      <c r="B328" s="11"/>
    </row>
    <row r="329" spans="1:2">
      <c r="A329" s="11"/>
      <c r="B329" s="11"/>
    </row>
    <row r="330" spans="1:2">
      <c r="A330" s="11"/>
      <c r="B330" s="11"/>
    </row>
    <row r="331" spans="1:2">
      <c r="A331" s="11"/>
      <c r="B331" s="11"/>
    </row>
    <row r="332" spans="1:2">
      <c r="A332" s="11"/>
      <c r="B332" s="11"/>
    </row>
    <row r="333" spans="1:2">
      <c r="A333" s="11"/>
      <c r="B333" s="11"/>
    </row>
    <row r="334" spans="1:2">
      <c r="A334" s="11"/>
      <c r="B334" s="11"/>
    </row>
    <row r="335" spans="1:2">
      <c r="A335" s="11"/>
      <c r="B335" s="11"/>
    </row>
    <row r="336" spans="1:2">
      <c r="A336" s="11"/>
      <c r="B336" s="11"/>
    </row>
    <row r="337" spans="1:2">
      <c r="A337" s="11"/>
      <c r="B337" s="11"/>
    </row>
    <row r="338" spans="1:2">
      <c r="A338" s="11"/>
      <c r="B338" s="11"/>
    </row>
    <row r="339" spans="1:2">
      <c r="A339" s="11"/>
      <c r="B339" s="11"/>
    </row>
    <row r="340" spans="1:2">
      <c r="A340" s="11"/>
      <c r="B340" s="11"/>
    </row>
    <row r="341" spans="1:2">
      <c r="A341" s="11"/>
      <c r="B341" s="11"/>
    </row>
    <row r="342" spans="1:2">
      <c r="A342" s="11"/>
      <c r="B342" s="11"/>
    </row>
    <row r="343" spans="1:2">
      <c r="A343" s="11"/>
      <c r="B343" s="11"/>
    </row>
    <row r="344" spans="1:2">
      <c r="A344" s="11"/>
      <c r="B344" s="11"/>
    </row>
    <row r="345" spans="1:2">
      <c r="A345" s="11"/>
      <c r="B345" s="11"/>
    </row>
    <row r="346" spans="1:2">
      <c r="A346" s="11"/>
      <c r="B346" s="11"/>
    </row>
    <row r="347" spans="1:2">
      <c r="A347" s="11"/>
      <c r="B347" s="11"/>
    </row>
    <row r="348" spans="1:2">
      <c r="A348" s="11"/>
      <c r="B348" s="11"/>
    </row>
    <row r="349" spans="1:2">
      <c r="A349" s="11"/>
      <c r="B349" s="11"/>
    </row>
    <row r="350" spans="1:2">
      <c r="A350" s="11"/>
      <c r="B350" s="11"/>
    </row>
    <row r="351" spans="1:2">
      <c r="A351" s="11"/>
      <c r="B351" s="11"/>
    </row>
    <row r="352" spans="1:2">
      <c r="A352" s="11"/>
      <c r="B352" s="11"/>
    </row>
    <row r="353" spans="1:2">
      <c r="A353" s="11"/>
      <c r="B353" s="11"/>
    </row>
    <row r="354" spans="1:2">
      <c r="A354" s="11"/>
      <c r="B354" s="11"/>
    </row>
    <row r="355" spans="1:2">
      <c r="A355" s="11"/>
      <c r="B355" s="11"/>
    </row>
    <row r="356" spans="1:2">
      <c r="A356" s="11"/>
      <c r="B356" s="11"/>
    </row>
    <row r="357" spans="1:2">
      <c r="A357" s="11"/>
      <c r="B357" s="11"/>
    </row>
    <row r="358" spans="1:2">
      <c r="A358" s="11"/>
      <c r="B358" s="11"/>
    </row>
    <row r="359" spans="1:2">
      <c r="A359" s="11"/>
      <c r="B359" s="11"/>
    </row>
    <row r="360" spans="1:2">
      <c r="A360" s="11"/>
      <c r="B360" s="11"/>
    </row>
    <row r="361" spans="1:2">
      <c r="A361" s="11"/>
      <c r="B361" s="11"/>
    </row>
    <row r="362" spans="1:2">
      <c r="A362" s="11"/>
      <c r="B362" s="11"/>
    </row>
    <row r="363" spans="1:2">
      <c r="A363" s="11"/>
      <c r="B363" s="11"/>
    </row>
    <row r="364" spans="1:2">
      <c r="A364" s="11"/>
      <c r="B364" s="11"/>
    </row>
    <row r="365" spans="1:2">
      <c r="A365" s="11"/>
      <c r="B365" s="11"/>
    </row>
    <row r="366" spans="1:2">
      <c r="A366" s="11"/>
      <c r="B366" s="11"/>
    </row>
    <row r="367" spans="1:2">
      <c r="A367" s="11"/>
      <c r="B367" s="11"/>
    </row>
    <row r="368" spans="1:2">
      <c r="A368" s="11"/>
      <c r="B368" s="11"/>
    </row>
    <row r="369" spans="1:2">
      <c r="A369" s="11"/>
      <c r="B369" s="11"/>
    </row>
    <row r="370" spans="1:2">
      <c r="A370" s="11"/>
      <c r="B370" s="11"/>
    </row>
    <row r="371" spans="1:2">
      <c r="A371" s="11"/>
      <c r="B371" s="11"/>
    </row>
    <row r="372" spans="1:2">
      <c r="A372" s="11"/>
      <c r="B372" s="11"/>
    </row>
    <row r="373" spans="1:2">
      <c r="A373" s="11"/>
      <c r="B373" s="11"/>
    </row>
    <row r="374" spans="1:2">
      <c r="A374" s="11"/>
      <c r="B374" s="11"/>
    </row>
    <row r="375" spans="1:2">
      <c r="A375" s="11"/>
      <c r="B375" s="11"/>
    </row>
    <row r="376" spans="1:2">
      <c r="A376" s="11"/>
      <c r="B376" s="11"/>
    </row>
    <row r="377" spans="1:2">
      <c r="A377" s="11"/>
      <c r="B377" s="11"/>
    </row>
    <row r="378" spans="1:2">
      <c r="A378" s="11"/>
      <c r="B378" s="11"/>
    </row>
    <row r="379" spans="1:2">
      <c r="A379" s="11"/>
      <c r="B379" s="11"/>
    </row>
    <row r="380" spans="1:2">
      <c r="A380" s="11"/>
      <c r="B380" s="11"/>
    </row>
    <row r="381" spans="1:2">
      <c r="A381" s="11"/>
      <c r="B381" s="11"/>
    </row>
    <row r="382" spans="1:2">
      <c r="A382" s="11"/>
      <c r="B382" s="11"/>
    </row>
    <row r="383" spans="1:2">
      <c r="A383" s="11"/>
      <c r="B383" s="11"/>
    </row>
    <row r="384" spans="1:2">
      <c r="A384" s="11"/>
      <c r="B384" s="11"/>
    </row>
    <row r="385" spans="1:2">
      <c r="A385" s="11"/>
      <c r="B385" s="11"/>
    </row>
    <row r="386" spans="1:2">
      <c r="A386" s="11"/>
      <c r="B386" s="11"/>
    </row>
    <row r="387" spans="1:2">
      <c r="A387" s="11"/>
      <c r="B387" s="11"/>
    </row>
    <row r="388" spans="1:2">
      <c r="A388" s="11"/>
      <c r="B388" s="11"/>
    </row>
    <row r="389" spans="1:2">
      <c r="A389" s="11"/>
      <c r="B389" s="11"/>
    </row>
    <row r="390" spans="1:2">
      <c r="A390" s="11"/>
      <c r="B390" s="11"/>
    </row>
    <row r="391" spans="1:2">
      <c r="A391" s="11"/>
      <c r="B391" s="11"/>
    </row>
    <row r="392" spans="1:2">
      <c r="A392" s="11"/>
      <c r="B392" s="11"/>
    </row>
    <row r="393" spans="1:2">
      <c r="A393" s="11"/>
      <c r="B393" s="11"/>
    </row>
    <row r="394" spans="1:2">
      <c r="A394" s="11"/>
      <c r="B394" s="11"/>
    </row>
    <row r="395" spans="1:2">
      <c r="A395" s="11"/>
      <c r="B395" s="11"/>
    </row>
    <row r="396" spans="1:2">
      <c r="A396" s="11"/>
      <c r="B396" s="11"/>
    </row>
    <row r="397" spans="1:2">
      <c r="A397" s="11"/>
      <c r="B397" s="11"/>
    </row>
    <row r="398" spans="1:2">
      <c r="A398" s="11"/>
      <c r="B398" s="11"/>
    </row>
    <row r="399" spans="1:2">
      <c r="A399" s="11"/>
      <c r="B399" s="11"/>
    </row>
    <row r="400" spans="1:2">
      <c r="A400" s="11"/>
      <c r="B400" s="11"/>
    </row>
    <row r="401" spans="1:2">
      <c r="A401" s="11"/>
      <c r="B401" s="11"/>
    </row>
    <row r="402" spans="1:2">
      <c r="A402" s="11"/>
      <c r="B402" s="11"/>
    </row>
    <row r="403" spans="1:2">
      <c r="A403" s="11"/>
      <c r="B403" s="11"/>
    </row>
    <row r="404" spans="1:2">
      <c r="A404" s="11"/>
      <c r="B404" s="11"/>
    </row>
    <row r="405" spans="1:2">
      <c r="A405" s="11"/>
      <c r="B405" s="11"/>
    </row>
    <row r="406" spans="1:2">
      <c r="A406" s="11"/>
      <c r="B406" s="11"/>
    </row>
    <row r="407" spans="1:2">
      <c r="A407" s="11"/>
      <c r="B407" s="11"/>
    </row>
    <row r="408" spans="1:2">
      <c r="A408" s="11"/>
      <c r="B408" s="11"/>
    </row>
    <row r="409" spans="1:2">
      <c r="A409" s="11"/>
      <c r="B409" s="11"/>
    </row>
    <row r="410" spans="1:2">
      <c r="A410" s="11"/>
      <c r="B410" s="11"/>
    </row>
    <row r="411" spans="1:2">
      <c r="A411" s="11"/>
      <c r="B411" s="11"/>
    </row>
    <row r="412" spans="1:2">
      <c r="A412" s="11"/>
      <c r="B412" s="11"/>
    </row>
    <row r="413" spans="1:2">
      <c r="A413" s="11"/>
      <c r="B413" s="11"/>
    </row>
    <row r="414" spans="1:2">
      <c r="A414" s="11"/>
      <c r="B414" s="11"/>
    </row>
    <row r="415" spans="1:2">
      <c r="A415" s="11"/>
      <c r="B415" s="11"/>
    </row>
    <row r="416" spans="1:2">
      <c r="A416" s="11"/>
      <c r="B416" s="11"/>
    </row>
    <row r="417" spans="1:2">
      <c r="A417" s="11"/>
      <c r="B417" s="11"/>
    </row>
    <row r="418" spans="1:2">
      <c r="A418" s="11"/>
      <c r="B418" s="11"/>
    </row>
    <row r="419" spans="1:2">
      <c r="A419" s="11"/>
      <c r="B419" s="11"/>
    </row>
    <row r="420" spans="1:2">
      <c r="A420" s="11"/>
      <c r="B420" s="11"/>
    </row>
    <row r="421" spans="1:2">
      <c r="A421" s="11"/>
      <c r="B421" s="11"/>
    </row>
    <row r="422" spans="1:2">
      <c r="A422" s="11"/>
      <c r="B422" s="11"/>
    </row>
    <row r="423" spans="1:2">
      <c r="A423" s="11"/>
      <c r="B423" s="11"/>
    </row>
    <row r="424" spans="1:2">
      <c r="A424" s="11"/>
      <c r="B424" s="11"/>
    </row>
    <row r="425" spans="1:2">
      <c r="A425" s="11"/>
      <c r="B425" s="11"/>
    </row>
    <row r="426" spans="1:2">
      <c r="A426" s="11"/>
      <c r="B426" s="11"/>
    </row>
    <row r="427" spans="1:2">
      <c r="A427" s="11"/>
      <c r="B427" s="11"/>
    </row>
    <row r="428" spans="1:2">
      <c r="A428" s="11"/>
      <c r="B428" s="11"/>
    </row>
    <row r="429" spans="1:2">
      <c r="A429" s="11"/>
      <c r="B429" s="11"/>
    </row>
    <row r="430" spans="1:2">
      <c r="A430" s="11"/>
      <c r="B430" s="11"/>
    </row>
    <row r="431" spans="1:2">
      <c r="A431" s="11"/>
      <c r="B431" s="11"/>
    </row>
    <row r="432" spans="1:2">
      <c r="A432" s="11"/>
      <c r="B432" s="11"/>
    </row>
    <row r="433" spans="1:2">
      <c r="A433" s="11"/>
      <c r="B433" s="11"/>
    </row>
    <row r="434" spans="1:2">
      <c r="A434" s="11"/>
      <c r="B434" s="11"/>
    </row>
    <row r="435" spans="1:2">
      <c r="A435" s="11"/>
      <c r="B435" s="11"/>
    </row>
    <row r="436" spans="1:2">
      <c r="A436" s="11"/>
      <c r="B436" s="11"/>
    </row>
    <row r="437" spans="1:2">
      <c r="A437" s="11"/>
      <c r="B437" s="11"/>
    </row>
    <row r="438" spans="1:2">
      <c r="A438" s="11"/>
      <c r="B438" s="11"/>
    </row>
    <row r="439" spans="1:2">
      <c r="A439" s="11"/>
      <c r="B439" s="11"/>
    </row>
    <row r="440" spans="1:2">
      <c r="A440" s="11"/>
      <c r="B440" s="11"/>
    </row>
    <row r="441" spans="1:2">
      <c r="A441" s="11"/>
      <c r="B441" s="11"/>
    </row>
    <row r="442" spans="1:2">
      <c r="A442" s="11"/>
      <c r="B442" s="11"/>
    </row>
    <row r="443" spans="1:2">
      <c r="A443" s="11"/>
      <c r="B443" s="11"/>
    </row>
    <row r="444" spans="1:2">
      <c r="A444" s="11"/>
      <c r="B444" s="11"/>
    </row>
    <row r="445" spans="1:2">
      <c r="A445" s="11"/>
      <c r="B445" s="11"/>
    </row>
    <row r="446" spans="1:2">
      <c r="A446" s="11"/>
      <c r="B446" s="11"/>
    </row>
    <row r="447" spans="1:2">
      <c r="A447" s="11"/>
      <c r="B447" s="11"/>
    </row>
    <row r="448" spans="1:2">
      <c r="A448" s="11"/>
      <c r="B448" s="11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>
    <tabColor theme="0" tint="-0.499984740745262"/>
  </sheetPr>
  <dimension ref="A1:E26"/>
  <sheetViews>
    <sheetView workbookViewId="0">
      <selection activeCell="G1" sqref="G1"/>
    </sheetView>
  </sheetViews>
  <sheetFormatPr defaultRowHeight="12"/>
  <sheetData>
    <row r="1" spans="1:5" ht="22.5">
      <c r="A1" s="4" t="s">
        <v>27</v>
      </c>
      <c r="C1" s="4" t="s">
        <v>22</v>
      </c>
      <c r="E1" s="4" t="s">
        <v>21</v>
      </c>
    </row>
    <row r="2" spans="1:5" ht="14.25">
      <c r="A2" s="5" t="s">
        <v>25</v>
      </c>
      <c r="C2" s="10" t="s">
        <v>23</v>
      </c>
      <c r="E2" s="5" t="s">
        <v>19</v>
      </c>
    </row>
    <row r="3" spans="1:5" ht="14.25">
      <c r="A3" s="5" t="s">
        <v>26</v>
      </c>
      <c r="C3" s="10" t="s">
        <v>1</v>
      </c>
      <c r="E3" s="5" t="s">
        <v>20</v>
      </c>
    </row>
    <row r="4" spans="1:5" ht="14.25">
      <c r="C4" s="10" t="s">
        <v>2</v>
      </c>
    </row>
    <row r="5" spans="1:5" ht="14.25">
      <c r="C5" s="10" t="s">
        <v>3</v>
      </c>
    </row>
    <row r="6" spans="1:5" ht="14.25">
      <c r="C6" s="10" t="s">
        <v>4</v>
      </c>
    </row>
    <row r="7" spans="1:5" ht="14.25">
      <c r="C7" s="10" t="s">
        <v>5</v>
      </c>
    </row>
    <row r="8" spans="1:5" ht="14.25">
      <c r="C8" s="10" t="s">
        <v>6</v>
      </c>
    </row>
    <row r="9" spans="1:5" ht="14.25">
      <c r="C9" s="10" t="s">
        <v>24</v>
      </c>
    </row>
    <row r="10" spans="1:5" ht="14.25">
      <c r="C10" s="10" t="s">
        <v>0</v>
      </c>
    </row>
    <row r="11" spans="1:5" ht="14.25">
      <c r="C11" s="10" t="s">
        <v>7</v>
      </c>
    </row>
    <row r="12" spans="1:5" ht="14.25">
      <c r="C12" s="10" t="s">
        <v>8</v>
      </c>
    </row>
    <row r="13" spans="1:5" ht="14.25">
      <c r="C13" s="10" t="s">
        <v>9</v>
      </c>
    </row>
    <row r="14" spans="1:5" ht="14.25">
      <c r="C14" s="10" t="s">
        <v>10</v>
      </c>
    </row>
    <row r="15" spans="1:5" ht="14.25">
      <c r="C15" s="10" t="s">
        <v>11</v>
      </c>
    </row>
    <row r="16" spans="1:5" ht="14.25">
      <c r="C16" s="10" t="s">
        <v>12</v>
      </c>
    </row>
    <row r="17" spans="3:3" ht="14.25">
      <c r="C17" s="10"/>
    </row>
    <row r="18" spans="3:3" ht="14.25">
      <c r="C18" s="10"/>
    </row>
    <row r="19" spans="3:3" ht="14.25">
      <c r="C19" s="10"/>
    </row>
    <row r="20" spans="3:3" ht="14.25">
      <c r="C20" s="10"/>
    </row>
    <row r="21" spans="3:3" ht="14.25">
      <c r="C21" s="10"/>
    </row>
    <row r="22" spans="3:3" ht="14.25">
      <c r="C22" s="10"/>
    </row>
    <row r="23" spans="3:3" ht="14.25">
      <c r="C23" s="10"/>
    </row>
    <row r="24" spans="3:3" ht="14.25">
      <c r="C24" s="10"/>
    </row>
    <row r="25" spans="3:3" ht="14.25">
      <c r="C25" s="10"/>
    </row>
    <row r="26" spans="3:3" ht="14.25">
      <c r="C26" s="10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3BC822B0D634646AF588BA90C4392DF" ma:contentTypeVersion="0" ma:contentTypeDescription="Utwórz nowy dokument." ma:contentTypeScope="" ma:versionID="1d477af8dc142eb5678f410f5ac7ac2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fdb080088ddf1bdd98b8e55b33ddc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2F423B0-8BA2-4AC0-820F-34FA7CE413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46B3DF4-091A-4F25-B3F6-38D76D92A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834890-4530-4AFC-92AB-7FD2FD15976C}">
  <ds:schemaRefs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8</vt:i4>
      </vt:variant>
    </vt:vector>
  </HeadingPairs>
  <TitlesOfParts>
    <vt:vector size="12" baseType="lpstr">
      <vt:lpstr>DocInfo</vt:lpstr>
      <vt:lpstr>Order</vt:lpstr>
      <vt:lpstr>Catalog</vt:lpstr>
      <vt:lpstr>Lists</vt:lpstr>
      <vt:lpstr>Order!Obszar_wydruku</vt:lpstr>
      <vt:lpstr>Order_date</vt:lpstr>
      <vt:lpstr>Order_no</vt:lpstr>
      <vt:lpstr>order_type</vt:lpstr>
      <vt:lpstr>org_unit</vt:lpstr>
      <vt:lpstr>Order!Tytuły_wydruku</vt:lpstr>
      <vt:lpstr>units</vt:lpstr>
      <vt:lpstr>yes_no</vt:lpstr>
    </vt:vector>
  </TitlesOfParts>
  <Company>KZAiT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KZAiT_Arek</dc:creator>
  <cp:lastModifiedBy>Maciej Egermeier</cp:lastModifiedBy>
  <cp:lastPrinted>2015-06-16T09:30:07Z</cp:lastPrinted>
  <dcterms:created xsi:type="dcterms:W3CDTF">2002-04-08T10:27:33Z</dcterms:created>
  <dcterms:modified xsi:type="dcterms:W3CDTF">2015-07-13T10:09:49Z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0x010100E3BC822B0D634646AF588BA90C4392DF</vt:lpwstr>
  </property>
  <property fmtid="{D5CDD505-2E9C-101B-9397-08002B2CF9AE}" pid="3" name="MPK zapotrzebowania" linkTarget="mpk_zapotrzebowania">
    <vt:lpwstr/>
  </property>
  <property fmtid="{D5CDD505-2E9C-101B-9397-08002B2CF9AE}" pid="4" name="Numer zapotrzebowania" linkTarget="Numer_zapotrzebowania">
    <vt:r8>123</vt:r8>
  </property>
  <property fmtid="{D5CDD505-2E9C-101B-9397-08002B2CF9AE}" pid="5" name="Rodzaj zapotrzebowania" linkTarget="rodzaj_zapotrzebowania">
    <vt:lpwstr>material</vt:lpwstr>
  </property>
  <property fmtid="{D5CDD505-2E9C-101B-9397-08002B2CF9AE}" pid="6" name="Numer obiektu" linkTarget="Numer_obiektu">
    <vt:lpwstr>Admin</vt:lpwstr>
  </property>
</Properties>
</file>